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Tanker Deals" sheetId="1" state="visible" r:id="rId3"/>
    <sheet name="Crude Tanker Deals" sheetId="2" state="visible" r:id="rId4"/>
    <sheet name="Notes" sheetId="3" state="visible" r:id="rId5"/>
  </sheets>
  <definedNames>
    <definedName function="false" hidden="true" localSheetId="1" name="_xlnm._FilterDatabase" vbProcedure="false">'Crude Tanker Deals'!$A$1:$P$15</definedName>
    <definedName function="false" hidden="true" localSheetId="0" name="_xlnm._FilterDatabase" vbProcedure="false">'Product Tanker Deals'!$A$1:$P$12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<sst xmlns="http://schemas.openxmlformats.org/spreadsheetml/2006/main" count="351" uniqueCount="215">
  <si>
    <t xml:space="preserve">Date (2026 unless noted)</t>
  </si>
  <si>
    <t xml:space="preserve">Transaction type</t>
  </si>
  <si>
    <t xml:space="preserve">Buyer</t>
  </si>
  <si>
    <t xml:space="preserve">Seller</t>
  </si>
  <si>
    <t xml:space="preserve">Vessel(s)</t>
  </si>
  <si>
    <t xml:space="preserve">Segment</t>
  </si>
  <si>
    <t xml:space="preserve">No.</t>
  </si>
  <si>
    <t xml:space="preserve">DWT</t>
  </si>
  <si>
    <t xml:space="preserve">Year built / delivery</t>
  </si>
  <si>
    <t xml:space="preserve">Price/vessel ($m)</t>
  </si>
  <si>
    <t xml:space="preserve">Total ($m)</t>
  </si>
  <si>
    <t xml:space="preserve">Yard (build / newbuild)</t>
  </si>
  <si>
    <t xml:space="preserve">Eco design</t>
  </si>
  <si>
    <t xml:space="preserve">Scrubber</t>
  </si>
  <si>
    <t xml:space="preserve">Status</t>
  </si>
  <si>
    <t xml:space="preserve">Source / notes</t>
  </si>
  <si>
    <t xml:space="preserve">Jan (completed)</t>
  </si>
  <si>
    <t xml:space="preserve">Corporate / equity stake</t>
  </si>
  <si>
    <t xml:space="preserve">Hafnia</t>
  </si>
  <si>
    <t xml:space="preserve">Oaktree (selling holder)</t>
  </si>
  <si>
    <t xml:space="preserve">Torm ~13.97% equity stake</t>
  </si>
  <si>
    <t xml:space="preserve">Product (mixed)</t>
  </si>
  <si>
    <t xml:space="preserve">—</t>
  </si>
  <si>
    <t xml:space="preserve">Completed</t>
  </si>
  <si>
    <t xml:space="preserve">~$311m aggregate stake; potential takeover precursor. Lloyd's List / Maritime Hub</t>
  </si>
  <si>
    <t xml:space="preserve">Close Q1</t>
  </si>
  <si>
    <t xml:space="preserve">Secondhand S&amp;P (sale)</t>
  </si>
  <si>
    <t xml:space="preserve">Undisclosed</t>
  </si>
  <si>
    <t xml:space="preserve">Scorpio Tankers (STNG)</t>
  </si>
  <si>
    <t xml:space="preserve">STI Goal; STI Gallantry</t>
  </si>
  <si>
    <t xml:space="preserve">LR2</t>
  </si>
  <si>
    <t xml:space="preserve">2016</t>
  </si>
  <si>
    <t xml:space="preserve">Not disclosed</t>
  </si>
  <si>
    <t xml:space="preserve">Closing Q1 2026</t>
  </si>
  <si>
    <t xml:space="preserve">Scorpio Tankers press release (Dec 2025)</t>
  </si>
  <si>
    <t xml:space="preserve">STI Battery; STI Venere; STI Milwaukee; STI Yorkville</t>
  </si>
  <si>
    <t xml:space="preserve">MR</t>
  </si>
  <si>
    <t xml:space="preserve">2014</t>
  </si>
  <si>
    <t xml:space="preserve">Yes (scrubber-fitted)</t>
  </si>
  <si>
    <t xml:space="preserve">Scorpio Tankers press release (Nov 2025)</t>
  </si>
  <si>
    <t xml:space="preserve">Close Q2</t>
  </si>
  <si>
    <t xml:space="preserve">STI Brooklyn; STI Black Hawk</t>
  </si>
  <si>
    <t xml:space="preserve">2015</t>
  </si>
  <si>
    <t xml:space="preserve">Closing Q2 2026</t>
  </si>
  <si>
    <t xml:space="preserve">Scorpio Tankers 6-K (StockTitan)</t>
  </si>
  <si>
    <t xml:space="preserve">Early 2026</t>
  </si>
  <si>
    <t xml:space="preserve">Secondhand S&amp;P (sale, en bloc)</t>
  </si>
  <si>
    <t xml:space="preserve">External / undisclosed</t>
  </si>
  <si>
    <t xml:space="preserve">10-ship package</t>
  </si>
  <si>
    <t xml:space="preserve">4 LR1 / 2 MR / 4 Handy</t>
  </si>
  <si>
    <t xml:space="preserve">Ageing tonnage</t>
  </si>
  <si>
    <t xml:space="preserve">No (ageing)</t>
  </si>
  <si>
    <t xml:space="preserve">Pending delivery</t>
  </si>
  <si>
    <t xml:space="preserve">Per-ship price not disclosed. Ship Universe (Feb 2026)</t>
  </si>
  <si>
    <t xml:space="preserve">Feb (broker report)</t>
  </si>
  <si>
    <t xml:space="preserve">CS Fujairah; CS Rotterdam</t>
  </si>
  <si>
    <t xml:space="preserve">MR2</t>
  </si>
  <si>
    <t xml:space="preserve">Built Jan &amp; Mar 2026</t>
  </si>
  <si>
    <t xml:space="preserve">Chengxi Shipyard (China)</t>
  </si>
  <si>
    <t xml:space="preserve">Not disclosed (modern)</t>
  </si>
  <si>
    <t xml:space="preserve">No (no scrubbers)</t>
  </si>
  <si>
    <t xml:space="preserve">Reported sold</t>
  </si>
  <si>
    <t xml:space="preserve">Price incl. balance of 12-15m T/C. Compass Maritime weekly</t>
  </si>
  <si>
    <t xml:space="preserve">Jan 23</t>
  </si>
  <si>
    <t xml:space="preserve">Newbuild order</t>
  </si>
  <si>
    <t xml:space="preserve">d'Amico (DIS)</t>
  </si>
  <si>
    <t xml:space="preserve">— (yard contract)</t>
  </si>
  <si>
    <t xml:space="preserve">2 MR2 newbuildings</t>
  </si>
  <si>
    <t xml:space="preserve">Delivery Mar &amp; Jun 2029</t>
  </si>
  <si>
    <t xml:space="preserve">Jiangsu New Yangzi (YZJ)</t>
  </si>
  <si>
    <t xml:space="preserve">Yes (eco; methanol-ready, biofuel-cert.)</t>
  </si>
  <si>
    <t xml:space="preserve">Not specified</t>
  </si>
  <si>
    <t xml:space="preserve">Ordered</t>
  </si>
  <si>
    <t xml:space="preserve">d'Amico / Splash247</t>
  </si>
  <si>
    <t xml:space="preserve">Feb 23</t>
  </si>
  <si>
    <t xml:space="preserve">Newbuild acquisition (SPVs)</t>
  </si>
  <si>
    <t xml:space="preserve">TOP Ships (TOPS)</t>
  </si>
  <si>
    <t xml:space="preserve">CEO-affiliated entity (Pistiolis)</t>
  </si>
  <si>
    <t xml:space="preserve">9 ECO MR product/chemical NBs</t>
  </si>
  <si>
    <t xml:space="preserve">Delivery 2028-2029</t>
  </si>
  <si>
    <t xml:space="preserve">Guangzhou Shipyard Int'l (GSI)</t>
  </si>
  <si>
    <t xml:space="preserve">Yes (ECO)</t>
  </si>
  <si>
    <t xml:space="preserve">Agreed (subject to financing)</t>
  </si>
  <si>
    <t xml:space="preserve">~$41m share purchase; ~$679m 7+4yr T/C backlog. TOP Ships / Splash247</t>
  </si>
  <si>
    <t xml:space="preserve">Central Group (Pistiolis, private)</t>
  </si>
  <si>
    <t xml:space="preserve">10 MR product tankers</t>
  </si>
  <si>
    <t xml:space="preserve">Guangzhou Shipyard Int'l (GSI) / CSSC</t>
  </si>
  <si>
    <t xml:space="preserve">Yes (newbuild)</t>
  </si>
  <si>
    <t xml:space="preserve">~$500m aggregate. Splash247</t>
  </si>
  <si>
    <t xml:space="preserve">Late Dec 2025 (context)</t>
  </si>
  <si>
    <t xml:space="preserve">2 MR1 newbuildings</t>
  </si>
  <si>
    <t xml:space="preserve">MR1</t>
  </si>
  <si>
    <t xml:space="preserve">Delivery Apr &amp; Jul 2029</t>
  </si>
  <si>
    <t xml:space="preserve">Yes (eco; methanol-ready)</t>
  </si>
  <si>
    <t xml:space="preserve">Deliveries 2029. d'Amico / Marine Link</t>
  </si>
  <si>
    <t xml:space="preserve">Nov 2025 (context)</t>
  </si>
  <si>
    <t xml:space="preserve">Newbuild resale purchase</t>
  </si>
  <si>
    <t xml:space="preserve">— (resale)</t>
  </si>
  <si>
    <t xml:space="preserve">4 MR newbuilding resales</t>
  </si>
  <si>
    <t xml:space="preserve">Delivery 2026-2027</t>
  </si>
  <si>
    <t xml:space="preserve">Jingjiang Nanyang Shipbuilding</t>
  </si>
  <si>
    <t xml:space="preserve">Yes (modern)</t>
  </si>
  <si>
    <t xml:space="preserve">Agreed</t>
  </si>
  <si>
    <t xml:space="preserve">Deliveries land in 2026-27. Scorpio Tankers PR</t>
  </si>
  <si>
    <t xml:space="preserve">Jan (delivered Q1)</t>
  </si>
  <si>
    <t xml:space="preserve">Undisclosed 3rd party</t>
  </si>
  <si>
    <t xml:space="preserve">Frontline (FRO)</t>
  </si>
  <si>
    <t xml:space="preserve">8 first-gen ECO VLCCs</t>
  </si>
  <si>
    <t xml:space="preserve">VLCC</t>
  </si>
  <si>
    <t xml:space="preserve">2015-2016</t>
  </si>
  <si>
    <t xml:space="preserve">Yes (first-gen ECO)</t>
  </si>
  <si>
    <t xml:space="preserve">Delivered Q1 2026</t>
  </si>
  <si>
    <t xml:space="preserve">$831.5m total; net ~$486m, gain ~$217-227m. Frontline / Marine Log</t>
  </si>
  <si>
    <t xml:space="preserve">Jan 8</t>
  </si>
  <si>
    <t xml:space="preserve">Newbuild acquisition (contracts)</t>
  </si>
  <si>
    <t xml:space="preserve">Hemen Holding affiliate (Fredriksen)</t>
  </si>
  <si>
    <t xml:space="preserve">9 latest-gen ECO VLCC NBs</t>
  </si>
  <si>
    <t xml:space="preserve">7 deliver 2026 (from Q3), 1 Q1'27, 1 Q2'27</t>
  </si>
  <si>
    <t xml:space="preserve">Hengli (6) / Dalian (3), China</t>
  </si>
  <si>
    <t xml:space="preserve">Yes (latest-gen ECO)</t>
  </si>
  <si>
    <t xml:space="preserve">$1,224.0m aggregate; related-party. Frontline / Splash247</t>
  </si>
  <si>
    <t xml:space="preserve">Feb</t>
  </si>
  <si>
    <t xml:space="preserve">Sinokor</t>
  </si>
  <si>
    <t xml:space="preserve">CMB.TECH</t>
  </si>
  <si>
    <t xml:space="preserve">Ingrid; Ilma</t>
  </si>
  <si>
    <t xml:space="preserve">2012</t>
  </si>
  <si>
    <t xml:space="preserve">Delivery Q2 2026</t>
  </si>
  <si>
    <t xml:space="preserve">$178m en bloc. Splash247</t>
  </si>
  <si>
    <t xml:space="preserve">Sinokor (linked)</t>
  </si>
  <si>
    <t xml:space="preserve">Teekay Tankers</t>
  </si>
  <si>
    <t xml:space="preserve">Singapore Spirit (ex-Hong Kong Spirit)</t>
  </si>
  <si>
    <t xml:space="preserve">2013</t>
  </si>
  <si>
    <t xml:space="preserve">Teekay's VLCC-sector exit. Splash247</t>
  </si>
  <si>
    <t xml:space="preserve">Jan</t>
  </si>
  <si>
    <t xml:space="preserve">Greek interests</t>
  </si>
  <si>
    <t xml:space="preserve">Chinese owner</t>
  </si>
  <si>
    <t xml:space="preserve">CSSC Liaoning</t>
  </si>
  <si>
    <t xml:space="preserve">~2021 (5yo)</t>
  </si>
  <si>
    <t xml:space="preserve">Dalian Shipbuilding Ind. Corp</t>
  </si>
  <si>
    <t xml:space="preserve">Incl. T/C ~$41k/day to May. Splash247</t>
  </si>
  <si>
    <t xml:space="preserve">Jan (chatter)</t>
  </si>
  <si>
    <t xml:space="preserve">European buyer</t>
  </si>
  <si>
    <t xml:space="preserve">Two 4-yr-old VLCCs</t>
  </si>
  <si>
    <t xml:space="preserve">~2022 (4yo)</t>
  </si>
  <si>
    <t xml:space="preserve">Hyundai Samho (Korea)</t>
  </si>
  <si>
    <t xml:space="preserve">Sales chatter</t>
  </si>
  <si>
    <t xml:space="preserve">~$125m each, within Europe. Splash247</t>
  </si>
  <si>
    <t xml:space="preserve">Q1 (campaign)</t>
  </si>
  <si>
    <t xml:space="preserve">Secondhand S&amp;P (buying campaign)</t>
  </si>
  <si>
    <t xml:space="preserve">Multiple owners</t>
  </si>
  <si>
    <t xml:space="preserve">~35 VLCCs (of 45 sold)</t>
  </si>
  <si>
    <t xml:space="preserve">2010-2016 (avg ~12yo)</t>
  </si>
  <si>
    <t xml:space="preserve">Various (build yards)</t>
  </si>
  <si>
    <t xml:space="preserve">Mixed</t>
  </si>
  <si>
    <t xml:space="preserve">Largely concluded</t>
  </si>
  <si>
    <t xml:space="preserve">~$2.5bn+ total; ~78% of sector volume; +10-15% over market. Veson / IndexBox</t>
  </si>
  <si>
    <t xml:space="preserve">Apr (agreed)</t>
  </si>
  <si>
    <t xml:space="preserve">Silk Searoad Maritime (Greece)</t>
  </si>
  <si>
    <t xml:space="preserve">Front Ull; Front Idun</t>
  </si>
  <si>
    <t xml:space="preserve">Suezmax</t>
  </si>
  <si>
    <t xml:space="preserve">2014 / 2015</t>
  </si>
  <si>
    <t xml:space="preserve">No (oldest in fleet)</t>
  </si>
  <si>
    <t xml:space="preserve">Gain ~$55m Q2 2026</t>
  </si>
  <si>
    <t xml:space="preserve">$140m total; net ~$106m. Frontline / Splash247</t>
  </si>
  <si>
    <t xml:space="preserve">Secondhand S&amp;P (NB resale, en bloc)</t>
  </si>
  <si>
    <t xml:space="preserve">Arctic Star; Tromso Star</t>
  </si>
  <si>
    <t xml:space="preserve">Delivery May &amp; Jun 2026</t>
  </si>
  <si>
    <t xml:space="preserve">Not disclosed (modern NB)</t>
  </si>
  <si>
    <t xml:space="preserve">$99.3m each. Compass Maritime weekly</t>
  </si>
  <si>
    <t xml:space="preserve">Olympic Star; Daehan Hull 5118</t>
  </si>
  <si>
    <t xml:space="preserve">Delivery 2027</t>
  </si>
  <si>
    <t xml:space="preserve">Daehan SB (Korea)</t>
  </si>
  <si>
    <t xml:space="preserve">$95m each en bloc. Compass Maritime weekly</t>
  </si>
  <si>
    <t xml:space="preserve">Mar 2</t>
  </si>
  <si>
    <t xml:space="preserve">Performance Shipping (PSHG)</t>
  </si>
  <si>
    <t xml:space="preserve">2 Suezmax newbuildings</t>
  </si>
  <si>
    <t xml:space="preserve">Delivery Oct 2028 &amp; May 2029</t>
  </si>
  <si>
    <t xml:space="preserve">Shanghai Waigaoqiao (SWS) / CSTC</t>
  </si>
  <si>
    <t xml:space="preserve">Yes (Tier III, fuel-efficient)</t>
  </si>
  <si>
    <t xml:space="preserve">$163m total; T/C to Repsol. Performance Shipping</t>
  </si>
  <si>
    <t xml:space="preserve">Mar (campaign)</t>
  </si>
  <si>
    <t xml:space="preserve">First 3 Suezmaxes</t>
  </si>
  <si>
    <t xml:space="preserve">Reported</t>
  </si>
  <si>
    <t xml:space="preserve">Brokers expect 'avalanche'; values +~10%. Splash247 / GosShips</t>
  </si>
  <si>
    <t xml:space="preserve">Apr 14</t>
  </si>
  <si>
    <t xml:space="preserve">Trafigura Maritime Logistics</t>
  </si>
  <si>
    <t xml:space="preserve">P. Aliki</t>
  </si>
  <si>
    <t xml:space="preserve">Aframax</t>
  </si>
  <si>
    <t xml:space="preserve">2010</t>
  </si>
  <si>
    <t xml:space="preserve">Delivery ~end Q3 2026</t>
  </si>
  <si>
    <t xml:space="preserve">Signed MOA; repays ~$12.8m debt. Performance Shipping</t>
  </si>
  <si>
    <t xml:space="preserve">Scorpio (STI)</t>
  </si>
  <si>
    <t xml:space="preserve">STI Condotti</t>
  </si>
  <si>
    <t xml:space="preserve">Aframax / LR2</t>
  </si>
  <si>
    <t xml:space="preserve">Nov 2014</t>
  </si>
  <si>
    <t xml:space="preserve">Yes (Eco Aframax)</t>
  </si>
  <si>
    <t xml:space="preserve">Sold for excess of $70m. Compass Maritime weekly</t>
  </si>
  <si>
    <t xml:space="preserve">Notes &amp; caveats</t>
  </si>
  <si>
    <t xml:space="preserve">Scope</t>
  </si>
  <si>
    <t xml:space="preserve">Product and crude (VLCC / Suezmax / Aframax) tanker transactions reported in 2026 - newbuild orders, secondhand S&amp;P, and corporate/equity moves - from public filings and broker weekly reports.</t>
  </si>
  <si>
    <t xml:space="preserve">Completeness</t>
  </si>
  <si>
    <t xml:space="preserve">Not exhaustive. The full S&amp;P 'tape' sits behind broker/data subscriptions (Clarksons, VesselsValue, Lloyd's List). Many secondhand deals stay private or are reported without buyer/seller names.</t>
  </si>
  <si>
    <t xml:space="preserve">Sinokor rows</t>
  </si>
  <si>
    <t xml:space="preserve">Sinokor ran a dominant VLCC buying campaign in early 2026 (~35 of 45 VLCCs sold, ~$2.5bn+) and began buying Suezmaxes in March. Individual named deals (CMB.TECH, Teekay) are listed separately; the campaign rows aggregate the rest.</t>
  </si>
  <si>
    <t xml:space="preserve">Yard column</t>
  </si>
  <si>
    <t xml:space="preserve">For newbuilds = building yard. For secondhand sales = original build yard (often not disclosed in filings/broker reports).</t>
  </si>
  <si>
    <t xml:space="preserve">Eco / Scrubber</t>
  </si>
  <si>
    <t xml:space="preserve">'Not disclosed' = not stated in the source; 'Not specified' = newbuild eco-design where a scrubber is typically not the abatement route. Absence of a 'Yes' is not confirmation of 'No'.</t>
  </si>
  <si>
    <t xml:space="preserve">Context rows (yellow)</t>
  </si>
  <si>
    <t xml:space="preserve">Product sheet: d'Amico MR1 (late Dec 2025) and Scorpio 4x MR resale (Nov 2025) signed just before 2026 but deliver 2026-29; included for completeness.</t>
  </si>
  <si>
    <t xml:space="preserve">Price/vessel x count where a per-vessel price is disclosed (formula); otherwise the disclosed aggregate is entered directly (e.g. Frontline 8-VLCC $831.5m, Sinokor campaign ~$2.5bn).</t>
  </si>
  <si>
    <t xml:space="preserve">Prices</t>
  </si>
  <si>
    <t xml:space="preserve">All figures in US$ millions, per vessel unless the Total column / notes indicate an aggregate. Many secondhand prices are broker-reported, not company-confirmed.</t>
  </si>
  <si>
    <t xml:space="preserve">Compiled</t>
  </si>
  <si>
    <t xml:space="preserve">June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</si>
</sst>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@"/>
    <numFmt numFmtId="167" formatCode="\$#,##0.0;&quot;($&quot;#,##0.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  <fill>
      <patternFill patternType="solid">
        <fgColor rgb="FFFFF2CC"/>
        <bgColor rgb="FFF2F5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5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5"/>
    <col collapsed="false" customWidth="true" hidden="false" outlineLevel="0" max="8" min="8" style="0" width="9"/>
    <col collapsed="false" customWidth="true" hidden="false" outlineLevel="0" max="9" min="9" style="0" width="24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30"/>
    <col collapsed="false" customWidth="true" hidden="false" outlineLevel="0" max="13" min="13" style="0" width="28"/>
    <col collapsed="false" customWidth="true" hidden="false" outlineLevel="0" max="15" min="14" style="0" width="22"/>
    <col collapsed="false" customWidth="true" hidden="false" outlineLevel="0" max="16" min="16" style="0" width="4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3" t="s">
        <v>20</v>
      </c>
      <c r="F2" s="2" t="s">
        <v>21</v>
      </c>
      <c r="G2" s="4"/>
      <c r="H2" s="5"/>
      <c r="I2" s="6" t="s">
        <v>22</v>
      </c>
      <c r="J2" s="7"/>
      <c r="K2" s="7" t="n">
        <v>311</v>
      </c>
      <c r="L2" s="2" t="s">
        <v>22</v>
      </c>
      <c r="M2" s="2" t="s">
        <v>22</v>
      </c>
      <c r="N2" s="2" t="s">
        <v>22</v>
      </c>
      <c r="O2" s="2" t="s">
        <v>23</v>
      </c>
      <c r="P2" s="3" t="s">
        <v>24</v>
      </c>
    </row>
    <row r="3" customFormat="false" ht="15" hidden="false" customHeight="false" outlineLevel="0" collapsed="false">
      <c r="A3" s="8" t="s">
        <v>25</v>
      </c>
      <c r="B3" s="8" t="s">
        <v>26</v>
      </c>
      <c r="C3" s="8" t="s">
        <v>27</v>
      </c>
      <c r="D3" s="8" t="s">
        <v>28</v>
      </c>
      <c r="E3" s="9" t="s">
        <v>29</v>
      </c>
      <c r="F3" s="8" t="s">
        <v>30</v>
      </c>
      <c r="G3" s="10" t="n">
        <v>2</v>
      </c>
      <c r="H3" s="11"/>
      <c r="I3" s="12" t="s">
        <v>31</v>
      </c>
      <c r="J3" s="13" t="n">
        <v>52.3</v>
      </c>
      <c r="K3" s="13" t="n">
        <f aca="false">J3*G3</f>
        <v>104.6</v>
      </c>
      <c r="L3" s="8" t="s">
        <v>32</v>
      </c>
      <c r="M3" s="8" t="s">
        <v>32</v>
      </c>
      <c r="N3" s="8" t="s">
        <v>32</v>
      </c>
      <c r="O3" s="8" t="s">
        <v>33</v>
      </c>
      <c r="P3" s="9" t="s">
        <v>34</v>
      </c>
    </row>
    <row r="4" customFormat="false" ht="23.85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28</v>
      </c>
      <c r="E4" s="3" t="s">
        <v>35</v>
      </c>
      <c r="F4" s="2" t="s">
        <v>36</v>
      </c>
      <c r="G4" s="4" t="n">
        <v>4</v>
      </c>
      <c r="H4" s="5"/>
      <c r="I4" s="6" t="s">
        <v>37</v>
      </c>
      <c r="J4" s="7" t="n">
        <v>32</v>
      </c>
      <c r="K4" s="7" t="n">
        <f aca="false">J4*G4</f>
        <v>128</v>
      </c>
      <c r="L4" s="2" t="s">
        <v>32</v>
      </c>
      <c r="M4" s="2" t="s">
        <v>32</v>
      </c>
      <c r="N4" s="2" t="s">
        <v>38</v>
      </c>
      <c r="O4" s="2" t="s">
        <v>33</v>
      </c>
      <c r="P4" s="3" t="s">
        <v>39</v>
      </c>
    </row>
    <row r="5" customFormat="false" ht="15" hidden="false" customHeight="false" outlineLevel="0" collapsed="false">
      <c r="A5" s="8" t="s">
        <v>40</v>
      </c>
      <c r="B5" s="8" t="s">
        <v>26</v>
      </c>
      <c r="C5" s="8" t="s">
        <v>27</v>
      </c>
      <c r="D5" s="8" t="s">
        <v>28</v>
      </c>
      <c r="E5" s="9" t="s">
        <v>41</v>
      </c>
      <c r="F5" s="8" t="s">
        <v>36</v>
      </c>
      <c r="G5" s="10" t="n">
        <v>2</v>
      </c>
      <c r="H5" s="11"/>
      <c r="I5" s="12" t="s">
        <v>42</v>
      </c>
      <c r="J5" s="13" t="n">
        <v>35</v>
      </c>
      <c r="K5" s="13" t="n">
        <f aca="false">J5*G5</f>
        <v>70</v>
      </c>
      <c r="L5" s="8" t="s">
        <v>32</v>
      </c>
      <c r="M5" s="8" t="s">
        <v>32</v>
      </c>
      <c r="N5" s="8" t="s">
        <v>38</v>
      </c>
      <c r="O5" s="8" t="s">
        <v>43</v>
      </c>
      <c r="P5" s="9" t="s">
        <v>44</v>
      </c>
    </row>
    <row r="6" customFormat="false" ht="23.85" hidden="false" customHeight="false" outlineLevel="0" collapsed="false">
      <c r="A6" s="2" t="s">
        <v>45</v>
      </c>
      <c r="B6" s="2" t="s">
        <v>46</v>
      </c>
      <c r="C6" s="2" t="s">
        <v>47</v>
      </c>
      <c r="D6" s="2" t="s">
        <v>18</v>
      </c>
      <c r="E6" s="3" t="s">
        <v>48</v>
      </c>
      <c r="F6" s="2" t="s">
        <v>49</v>
      </c>
      <c r="G6" s="4" t="n">
        <v>10</v>
      </c>
      <c r="H6" s="5"/>
      <c r="I6" s="6" t="s">
        <v>50</v>
      </c>
      <c r="J6" s="7"/>
      <c r="K6" s="7"/>
      <c r="L6" s="2" t="s">
        <v>32</v>
      </c>
      <c r="M6" s="2" t="s">
        <v>51</v>
      </c>
      <c r="N6" s="2" t="s">
        <v>32</v>
      </c>
      <c r="O6" s="2" t="s">
        <v>52</v>
      </c>
      <c r="P6" s="3" t="s">
        <v>53</v>
      </c>
    </row>
    <row r="7" customFormat="false" ht="23.85" hidden="false" customHeight="false" outlineLevel="0" collapsed="false">
      <c r="A7" s="8" t="s">
        <v>54</v>
      </c>
      <c r="B7" s="8" t="s">
        <v>26</v>
      </c>
      <c r="C7" s="8" t="s">
        <v>27</v>
      </c>
      <c r="D7" s="8" t="s">
        <v>27</v>
      </c>
      <c r="E7" s="9" t="s">
        <v>55</v>
      </c>
      <c r="F7" s="8" t="s">
        <v>56</v>
      </c>
      <c r="G7" s="10" t="n">
        <v>2</v>
      </c>
      <c r="H7" s="11" t="n">
        <v>50629</v>
      </c>
      <c r="I7" s="12" t="s">
        <v>57</v>
      </c>
      <c r="J7" s="13" t="n">
        <v>49.5</v>
      </c>
      <c r="K7" s="13" t="n">
        <f aca="false">J7*G7</f>
        <v>99</v>
      </c>
      <c r="L7" s="8" t="s">
        <v>58</v>
      </c>
      <c r="M7" s="8" t="s">
        <v>59</v>
      </c>
      <c r="N7" s="8" t="s">
        <v>60</v>
      </c>
      <c r="O7" s="8" t="s">
        <v>61</v>
      </c>
      <c r="P7" s="9" t="s">
        <v>62</v>
      </c>
    </row>
    <row r="8" customFormat="false" ht="15" hidden="false" customHeight="false" outlineLevel="0" collapsed="false">
      <c r="A8" s="2" t="s">
        <v>63</v>
      </c>
      <c r="B8" s="2" t="s">
        <v>64</v>
      </c>
      <c r="C8" s="2" t="s">
        <v>65</v>
      </c>
      <c r="D8" s="2" t="s">
        <v>66</v>
      </c>
      <c r="E8" s="3" t="s">
        <v>67</v>
      </c>
      <c r="F8" s="2" t="s">
        <v>56</v>
      </c>
      <c r="G8" s="4" t="n">
        <v>2</v>
      </c>
      <c r="H8" s="5" t="n">
        <v>50000</v>
      </c>
      <c r="I8" s="6" t="s">
        <v>68</v>
      </c>
      <c r="J8" s="7" t="n">
        <v>45.4</v>
      </c>
      <c r="K8" s="7" t="n">
        <f aca="false">J8*G8</f>
        <v>90.8</v>
      </c>
      <c r="L8" s="2" t="s">
        <v>69</v>
      </c>
      <c r="M8" s="2" t="s">
        <v>70</v>
      </c>
      <c r="N8" s="2" t="s">
        <v>71</v>
      </c>
      <c r="O8" s="2" t="s">
        <v>72</v>
      </c>
      <c r="P8" s="3" t="s">
        <v>73</v>
      </c>
    </row>
    <row r="9" customFormat="false" ht="23.85" hidden="false" customHeight="false" outlineLevel="0" collapsed="false">
      <c r="A9" s="8" t="s">
        <v>74</v>
      </c>
      <c r="B9" s="8" t="s">
        <v>75</v>
      </c>
      <c r="C9" s="8" t="s">
        <v>76</v>
      </c>
      <c r="D9" s="8" t="s">
        <v>77</v>
      </c>
      <c r="E9" s="9" t="s">
        <v>78</v>
      </c>
      <c r="F9" s="8" t="s">
        <v>36</v>
      </c>
      <c r="G9" s="10" t="n">
        <v>9</v>
      </c>
      <c r="H9" s="11" t="n">
        <v>47499</v>
      </c>
      <c r="I9" s="12" t="s">
        <v>79</v>
      </c>
      <c r="J9" s="13"/>
      <c r="K9" s="13"/>
      <c r="L9" s="8" t="s">
        <v>80</v>
      </c>
      <c r="M9" s="8" t="s">
        <v>81</v>
      </c>
      <c r="N9" s="8" t="s">
        <v>71</v>
      </c>
      <c r="O9" s="8" t="s">
        <v>82</v>
      </c>
      <c r="P9" s="9" t="s">
        <v>83</v>
      </c>
    </row>
    <row r="10" customFormat="false" ht="15" hidden="false" customHeight="false" outlineLevel="0" collapsed="false">
      <c r="A10" s="2" t="s">
        <v>45</v>
      </c>
      <c r="B10" s="2" t="s">
        <v>64</v>
      </c>
      <c r="C10" s="2" t="s">
        <v>84</v>
      </c>
      <c r="D10" s="2" t="s">
        <v>66</v>
      </c>
      <c r="E10" s="3" t="s">
        <v>85</v>
      </c>
      <c r="F10" s="2" t="s">
        <v>36</v>
      </c>
      <c r="G10" s="4" t="n">
        <v>10</v>
      </c>
      <c r="H10" s="5"/>
      <c r="I10" s="6" t="s">
        <v>22</v>
      </c>
      <c r="J10" s="7"/>
      <c r="K10" s="7" t="n">
        <v>500</v>
      </c>
      <c r="L10" s="2" t="s">
        <v>86</v>
      </c>
      <c r="M10" s="2" t="s">
        <v>87</v>
      </c>
      <c r="N10" s="2" t="s">
        <v>32</v>
      </c>
      <c r="O10" s="2" t="s">
        <v>72</v>
      </c>
      <c r="P10" s="3" t="s">
        <v>88</v>
      </c>
    </row>
    <row r="11" customFormat="false" ht="15" hidden="false" customHeight="false" outlineLevel="0" collapsed="false">
      <c r="A11" s="14" t="s">
        <v>89</v>
      </c>
      <c r="B11" s="14" t="s">
        <v>64</v>
      </c>
      <c r="C11" s="14" t="s">
        <v>65</v>
      </c>
      <c r="D11" s="14" t="s">
        <v>66</v>
      </c>
      <c r="E11" s="15" t="s">
        <v>90</v>
      </c>
      <c r="F11" s="14" t="s">
        <v>91</v>
      </c>
      <c r="G11" s="16" t="n">
        <v>2</v>
      </c>
      <c r="H11" s="17" t="n">
        <v>40000</v>
      </c>
      <c r="I11" s="18" t="s">
        <v>92</v>
      </c>
      <c r="J11" s="19" t="n">
        <v>43.2</v>
      </c>
      <c r="K11" s="19" t="n">
        <f aca="false">J11*G11</f>
        <v>86.4</v>
      </c>
      <c r="L11" s="14" t="s">
        <v>80</v>
      </c>
      <c r="M11" s="14" t="s">
        <v>93</v>
      </c>
      <c r="N11" s="14" t="s">
        <v>71</v>
      </c>
      <c r="O11" s="14" t="s">
        <v>72</v>
      </c>
      <c r="P11" s="15" t="s">
        <v>94</v>
      </c>
    </row>
    <row r="12" customFormat="false" ht="15" hidden="false" customHeight="false" outlineLevel="0" collapsed="false">
      <c r="A12" s="14" t="s">
        <v>95</v>
      </c>
      <c r="B12" s="14" t="s">
        <v>96</v>
      </c>
      <c r="C12" s="14" t="s">
        <v>28</v>
      </c>
      <c r="D12" s="14" t="s">
        <v>97</v>
      </c>
      <c r="E12" s="15" t="s">
        <v>98</v>
      </c>
      <c r="F12" s="14" t="s">
        <v>36</v>
      </c>
      <c r="G12" s="16" t="n">
        <v>4</v>
      </c>
      <c r="H12" s="17"/>
      <c r="I12" s="18" t="s">
        <v>99</v>
      </c>
      <c r="J12" s="19" t="n">
        <v>45</v>
      </c>
      <c r="K12" s="19" t="n">
        <f aca="false">J12*G12</f>
        <v>180</v>
      </c>
      <c r="L12" s="14" t="s">
        <v>100</v>
      </c>
      <c r="M12" s="14" t="s">
        <v>101</v>
      </c>
      <c r="N12" s="14" t="s">
        <v>38</v>
      </c>
      <c r="O12" s="14" t="s">
        <v>102</v>
      </c>
      <c r="P12" s="15" t="s">
        <v>103</v>
      </c>
    </row>
  </sheetData>
  <autoFilter ref="A1:P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5"/>
    <col collapsed="false" customWidth="true" hidden="false" outlineLevel="0" max="8" min="8" style="0" width="9"/>
    <col collapsed="false" customWidth="true" hidden="false" outlineLevel="0" max="9" min="9" style="0" width="24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30"/>
    <col collapsed="false" customWidth="true" hidden="false" outlineLevel="0" max="13" min="13" style="0" width="28"/>
    <col collapsed="false" customWidth="true" hidden="false" outlineLevel="0" max="15" min="14" style="0" width="22"/>
    <col collapsed="false" customWidth="true" hidden="false" outlineLevel="0" max="16" min="16" style="0" width="4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s">
        <v>104</v>
      </c>
      <c r="B2" s="2" t="s">
        <v>46</v>
      </c>
      <c r="C2" s="2" t="s">
        <v>105</v>
      </c>
      <c r="D2" s="2" t="s">
        <v>106</v>
      </c>
      <c r="E2" s="3" t="s">
        <v>107</v>
      </c>
      <c r="F2" s="2" t="s">
        <v>108</v>
      </c>
      <c r="G2" s="4" t="n">
        <v>8</v>
      </c>
      <c r="H2" s="5"/>
      <c r="I2" s="6" t="s">
        <v>109</v>
      </c>
      <c r="J2" s="7"/>
      <c r="K2" s="7" t="n">
        <v>831.5</v>
      </c>
      <c r="L2" s="2" t="s">
        <v>32</v>
      </c>
      <c r="M2" s="2" t="s">
        <v>110</v>
      </c>
      <c r="N2" s="2" t="s">
        <v>32</v>
      </c>
      <c r="O2" s="2" t="s">
        <v>111</v>
      </c>
      <c r="P2" s="3" t="s">
        <v>112</v>
      </c>
    </row>
    <row r="3" customFormat="false" ht="23.85" hidden="false" customHeight="false" outlineLevel="0" collapsed="false">
      <c r="A3" s="8" t="s">
        <v>113</v>
      </c>
      <c r="B3" s="8" t="s">
        <v>114</v>
      </c>
      <c r="C3" s="8" t="s">
        <v>106</v>
      </c>
      <c r="D3" s="8" t="s">
        <v>115</v>
      </c>
      <c r="E3" s="9" t="s">
        <v>116</v>
      </c>
      <c r="F3" s="8" t="s">
        <v>108</v>
      </c>
      <c r="G3" s="10" t="n">
        <v>9</v>
      </c>
      <c r="H3" s="11"/>
      <c r="I3" s="12" t="s">
        <v>117</v>
      </c>
      <c r="J3" s="13" t="n">
        <v>136</v>
      </c>
      <c r="K3" s="13" t="n">
        <f aca="false">J3*G3</f>
        <v>1224</v>
      </c>
      <c r="L3" s="8" t="s">
        <v>118</v>
      </c>
      <c r="M3" s="8" t="s">
        <v>119</v>
      </c>
      <c r="N3" s="8" t="s">
        <v>38</v>
      </c>
      <c r="O3" s="8" t="s">
        <v>102</v>
      </c>
      <c r="P3" s="9" t="s">
        <v>120</v>
      </c>
    </row>
    <row r="4" customFormat="false" ht="15" hidden="false" customHeight="false" outlineLevel="0" collapsed="false">
      <c r="A4" s="2" t="s">
        <v>121</v>
      </c>
      <c r="B4" s="2" t="s">
        <v>46</v>
      </c>
      <c r="C4" s="2" t="s">
        <v>122</v>
      </c>
      <c r="D4" s="2" t="s">
        <v>123</v>
      </c>
      <c r="E4" s="3" t="s">
        <v>124</v>
      </c>
      <c r="F4" s="2" t="s">
        <v>108</v>
      </c>
      <c r="G4" s="4" t="n">
        <v>2</v>
      </c>
      <c r="H4" s="5" t="n">
        <v>314000</v>
      </c>
      <c r="I4" s="6" t="s">
        <v>125</v>
      </c>
      <c r="J4" s="7" t="n">
        <v>89</v>
      </c>
      <c r="K4" s="7" t="n">
        <f aca="false">J4*G4</f>
        <v>178</v>
      </c>
      <c r="L4" s="2" t="s">
        <v>32</v>
      </c>
      <c r="M4" s="2" t="s">
        <v>32</v>
      </c>
      <c r="N4" s="2" t="s">
        <v>32</v>
      </c>
      <c r="O4" s="2" t="s">
        <v>126</v>
      </c>
      <c r="P4" s="3" t="s">
        <v>127</v>
      </c>
    </row>
    <row r="5" customFormat="false" ht="15" hidden="false" customHeight="false" outlineLevel="0" collapsed="false">
      <c r="A5" s="8" t="s">
        <v>121</v>
      </c>
      <c r="B5" s="8" t="s">
        <v>26</v>
      </c>
      <c r="C5" s="8" t="s">
        <v>128</v>
      </c>
      <c r="D5" s="8" t="s">
        <v>129</v>
      </c>
      <c r="E5" s="9" t="s">
        <v>130</v>
      </c>
      <c r="F5" s="8" t="s">
        <v>108</v>
      </c>
      <c r="G5" s="10" t="n">
        <v>1</v>
      </c>
      <c r="H5" s="11" t="n">
        <v>318700</v>
      </c>
      <c r="I5" s="12" t="s">
        <v>131</v>
      </c>
      <c r="J5" s="13" t="n">
        <v>84.5</v>
      </c>
      <c r="K5" s="13" t="n">
        <f aca="false">J5*G5</f>
        <v>84.5</v>
      </c>
      <c r="L5" s="8" t="s">
        <v>32</v>
      </c>
      <c r="M5" s="8" t="s">
        <v>32</v>
      </c>
      <c r="N5" s="8" t="s">
        <v>32</v>
      </c>
      <c r="O5" s="8" t="s">
        <v>126</v>
      </c>
      <c r="P5" s="9" t="s">
        <v>132</v>
      </c>
    </row>
    <row r="6" customFormat="false" ht="15" hidden="false" customHeight="false" outlineLevel="0" collapsed="false">
      <c r="A6" s="2" t="s">
        <v>133</v>
      </c>
      <c r="B6" s="2" t="s">
        <v>26</v>
      </c>
      <c r="C6" s="2" t="s">
        <v>134</v>
      </c>
      <c r="D6" s="2" t="s">
        <v>135</v>
      </c>
      <c r="E6" s="3" t="s">
        <v>136</v>
      </c>
      <c r="F6" s="2" t="s">
        <v>108</v>
      </c>
      <c r="G6" s="4" t="n">
        <v>1</v>
      </c>
      <c r="H6" s="5"/>
      <c r="I6" s="6" t="s">
        <v>137</v>
      </c>
      <c r="J6" s="7" t="n">
        <v>112</v>
      </c>
      <c r="K6" s="7" t="n">
        <f aca="false">J6*G6</f>
        <v>112</v>
      </c>
      <c r="L6" s="2" t="s">
        <v>138</v>
      </c>
      <c r="M6" s="2" t="s">
        <v>59</v>
      </c>
      <c r="N6" s="2" t="s">
        <v>32</v>
      </c>
      <c r="O6" s="2" t="s">
        <v>61</v>
      </c>
      <c r="P6" s="3" t="s">
        <v>139</v>
      </c>
    </row>
    <row r="7" customFormat="false" ht="15" hidden="false" customHeight="false" outlineLevel="0" collapsed="false">
      <c r="A7" s="8" t="s">
        <v>140</v>
      </c>
      <c r="B7" s="8" t="s">
        <v>26</v>
      </c>
      <c r="C7" s="8" t="s">
        <v>141</v>
      </c>
      <c r="D7" s="8" t="s">
        <v>27</v>
      </c>
      <c r="E7" s="9" t="s">
        <v>142</v>
      </c>
      <c r="F7" s="8" t="s">
        <v>108</v>
      </c>
      <c r="G7" s="10" t="n">
        <v>2</v>
      </c>
      <c r="H7" s="11"/>
      <c r="I7" s="12" t="s">
        <v>143</v>
      </c>
      <c r="J7" s="13" t="n">
        <v>125</v>
      </c>
      <c r="K7" s="13" t="n">
        <f aca="false">J7*G7</f>
        <v>250</v>
      </c>
      <c r="L7" s="8" t="s">
        <v>144</v>
      </c>
      <c r="M7" s="8" t="s">
        <v>59</v>
      </c>
      <c r="N7" s="8" t="s">
        <v>32</v>
      </c>
      <c r="O7" s="8" t="s">
        <v>145</v>
      </c>
      <c r="P7" s="9" t="s">
        <v>146</v>
      </c>
    </row>
    <row r="8" customFormat="false" ht="23.85" hidden="false" customHeight="false" outlineLevel="0" collapsed="false">
      <c r="A8" s="2" t="s">
        <v>147</v>
      </c>
      <c r="B8" s="2" t="s">
        <v>148</v>
      </c>
      <c r="C8" s="2" t="s">
        <v>122</v>
      </c>
      <c r="D8" s="2" t="s">
        <v>149</v>
      </c>
      <c r="E8" s="3" t="s">
        <v>150</v>
      </c>
      <c r="F8" s="2" t="s">
        <v>108</v>
      </c>
      <c r="G8" s="4" t="n">
        <v>35</v>
      </c>
      <c r="H8" s="5"/>
      <c r="I8" s="6" t="s">
        <v>151</v>
      </c>
      <c r="J8" s="7"/>
      <c r="K8" s="7" t="n">
        <v>2500</v>
      </c>
      <c r="L8" s="2" t="s">
        <v>152</v>
      </c>
      <c r="M8" s="2" t="s">
        <v>153</v>
      </c>
      <c r="N8" s="2" t="s">
        <v>153</v>
      </c>
      <c r="O8" s="2" t="s">
        <v>154</v>
      </c>
      <c r="P8" s="3" t="s">
        <v>155</v>
      </c>
    </row>
    <row r="9" customFormat="false" ht="15" hidden="false" customHeight="false" outlineLevel="0" collapsed="false">
      <c r="A9" s="8" t="s">
        <v>156</v>
      </c>
      <c r="B9" s="8" t="s">
        <v>46</v>
      </c>
      <c r="C9" s="8" t="s">
        <v>157</v>
      </c>
      <c r="D9" s="8" t="s">
        <v>106</v>
      </c>
      <c r="E9" s="9" t="s">
        <v>158</v>
      </c>
      <c r="F9" s="8" t="s">
        <v>159</v>
      </c>
      <c r="G9" s="10" t="n">
        <v>2</v>
      </c>
      <c r="H9" s="11"/>
      <c r="I9" s="12" t="s">
        <v>160</v>
      </c>
      <c r="J9" s="13" t="n">
        <v>70</v>
      </c>
      <c r="K9" s="13" t="n">
        <f aca="false">J9*G9</f>
        <v>140</v>
      </c>
      <c r="L9" s="8" t="s">
        <v>32</v>
      </c>
      <c r="M9" s="8" t="s">
        <v>161</v>
      </c>
      <c r="N9" s="8" t="s">
        <v>32</v>
      </c>
      <c r="O9" s="8" t="s">
        <v>162</v>
      </c>
      <c r="P9" s="9" t="s">
        <v>163</v>
      </c>
    </row>
    <row r="10" customFormat="false" ht="15" hidden="false" customHeight="false" outlineLevel="0" collapsed="false">
      <c r="A10" s="2" t="s">
        <v>133</v>
      </c>
      <c r="B10" s="2" t="s">
        <v>164</v>
      </c>
      <c r="C10" s="2" t="s">
        <v>27</v>
      </c>
      <c r="D10" s="2" t="s">
        <v>27</v>
      </c>
      <c r="E10" s="3" t="s">
        <v>165</v>
      </c>
      <c r="F10" s="2" t="s">
        <v>159</v>
      </c>
      <c r="G10" s="4" t="n">
        <v>2</v>
      </c>
      <c r="H10" s="5" t="n">
        <v>156000</v>
      </c>
      <c r="I10" s="6" t="s">
        <v>166</v>
      </c>
      <c r="J10" s="7" t="n">
        <v>99.3</v>
      </c>
      <c r="K10" s="7" t="n">
        <f aca="false">J10*G10</f>
        <v>198.6</v>
      </c>
      <c r="L10" s="2" t="s">
        <v>32</v>
      </c>
      <c r="M10" s="2" t="s">
        <v>167</v>
      </c>
      <c r="N10" s="2" t="s">
        <v>32</v>
      </c>
      <c r="O10" s="2" t="s">
        <v>61</v>
      </c>
      <c r="P10" s="3" t="s">
        <v>168</v>
      </c>
    </row>
    <row r="11" customFormat="false" ht="15" hidden="false" customHeight="false" outlineLevel="0" collapsed="false">
      <c r="A11" s="8" t="s">
        <v>121</v>
      </c>
      <c r="B11" s="8" t="s">
        <v>164</v>
      </c>
      <c r="C11" s="8" t="s">
        <v>27</v>
      </c>
      <c r="D11" s="8" t="s">
        <v>27</v>
      </c>
      <c r="E11" s="9" t="s">
        <v>169</v>
      </c>
      <c r="F11" s="8" t="s">
        <v>159</v>
      </c>
      <c r="G11" s="10" t="n">
        <v>2</v>
      </c>
      <c r="H11" s="11" t="n">
        <v>158000</v>
      </c>
      <c r="I11" s="12" t="s">
        <v>170</v>
      </c>
      <c r="J11" s="13" t="n">
        <v>95</v>
      </c>
      <c r="K11" s="13" t="n">
        <f aca="false">J11*G11</f>
        <v>190</v>
      </c>
      <c r="L11" s="8" t="s">
        <v>171</v>
      </c>
      <c r="M11" s="8" t="s">
        <v>167</v>
      </c>
      <c r="N11" s="8" t="s">
        <v>38</v>
      </c>
      <c r="O11" s="8" t="s">
        <v>61</v>
      </c>
      <c r="P11" s="9" t="s">
        <v>172</v>
      </c>
    </row>
    <row r="12" customFormat="false" ht="15" hidden="false" customHeight="false" outlineLevel="0" collapsed="false">
      <c r="A12" s="2" t="s">
        <v>173</v>
      </c>
      <c r="B12" s="2" t="s">
        <v>64</v>
      </c>
      <c r="C12" s="2" t="s">
        <v>174</v>
      </c>
      <c r="D12" s="2" t="s">
        <v>66</v>
      </c>
      <c r="E12" s="3" t="s">
        <v>175</v>
      </c>
      <c r="F12" s="2" t="s">
        <v>159</v>
      </c>
      <c r="G12" s="4" t="n">
        <v>2</v>
      </c>
      <c r="H12" s="5" t="n">
        <v>158000</v>
      </c>
      <c r="I12" s="6" t="s">
        <v>176</v>
      </c>
      <c r="J12" s="7" t="n">
        <v>81.5</v>
      </c>
      <c r="K12" s="7" t="n">
        <f aca="false">J12*G12</f>
        <v>163</v>
      </c>
      <c r="L12" s="2" t="s">
        <v>177</v>
      </c>
      <c r="M12" s="2" t="s">
        <v>178</v>
      </c>
      <c r="N12" s="2" t="s">
        <v>38</v>
      </c>
      <c r="O12" s="2" t="s">
        <v>72</v>
      </c>
      <c r="P12" s="3" t="s">
        <v>179</v>
      </c>
    </row>
    <row r="13" customFormat="false" ht="23.85" hidden="false" customHeight="false" outlineLevel="0" collapsed="false">
      <c r="A13" s="8" t="s">
        <v>180</v>
      </c>
      <c r="B13" s="8" t="s">
        <v>148</v>
      </c>
      <c r="C13" s="8" t="s">
        <v>122</v>
      </c>
      <c r="D13" s="8" t="s">
        <v>149</v>
      </c>
      <c r="E13" s="9" t="s">
        <v>181</v>
      </c>
      <c r="F13" s="8" t="s">
        <v>159</v>
      </c>
      <c r="G13" s="10" t="n">
        <v>3</v>
      </c>
      <c r="H13" s="11"/>
      <c r="I13" s="12" t="s">
        <v>22</v>
      </c>
      <c r="J13" s="13"/>
      <c r="K13" s="13"/>
      <c r="L13" s="8" t="s">
        <v>32</v>
      </c>
      <c r="M13" s="8" t="s">
        <v>32</v>
      </c>
      <c r="N13" s="8" t="s">
        <v>32</v>
      </c>
      <c r="O13" s="8" t="s">
        <v>182</v>
      </c>
      <c r="P13" s="9" t="s">
        <v>183</v>
      </c>
    </row>
    <row r="14" customFormat="false" ht="23.85" hidden="false" customHeight="false" outlineLevel="0" collapsed="false">
      <c r="A14" s="2" t="s">
        <v>184</v>
      </c>
      <c r="B14" s="2" t="s">
        <v>26</v>
      </c>
      <c r="C14" s="2" t="s">
        <v>185</v>
      </c>
      <c r="D14" s="2" t="s">
        <v>174</v>
      </c>
      <c r="E14" s="3" t="s">
        <v>186</v>
      </c>
      <c r="F14" s="2" t="s">
        <v>187</v>
      </c>
      <c r="G14" s="4" t="n">
        <v>1</v>
      </c>
      <c r="H14" s="5" t="n">
        <v>105304</v>
      </c>
      <c r="I14" s="6" t="s">
        <v>188</v>
      </c>
      <c r="J14" s="7" t="n">
        <v>42.65</v>
      </c>
      <c r="K14" s="7" t="n">
        <f aca="false">J14*G14</f>
        <v>42.65</v>
      </c>
      <c r="L14" s="2" t="s">
        <v>32</v>
      </c>
      <c r="M14" s="2" t="s">
        <v>161</v>
      </c>
      <c r="N14" s="2" t="s">
        <v>32</v>
      </c>
      <c r="O14" s="2" t="s">
        <v>189</v>
      </c>
      <c r="P14" s="3" t="s">
        <v>190</v>
      </c>
    </row>
    <row r="15" customFormat="false" ht="23.85" hidden="false" customHeight="false" outlineLevel="0" collapsed="false">
      <c r="A15" s="8" t="s">
        <v>54</v>
      </c>
      <c r="B15" s="8" t="s">
        <v>26</v>
      </c>
      <c r="C15" s="8" t="s">
        <v>27</v>
      </c>
      <c r="D15" s="8" t="s">
        <v>191</v>
      </c>
      <c r="E15" s="9" t="s">
        <v>192</v>
      </c>
      <c r="F15" s="8" t="s">
        <v>193</v>
      </c>
      <c r="G15" s="10" t="n">
        <v>1</v>
      </c>
      <c r="H15" s="11" t="n">
        <v>109999</v>
      </c>
      <c r="I15" s="12" t="s">
        <v>194</v>
      </c>
      <c r="J15" s="13" t="n">
        <v>70</v>
      </c>
      <c r="K15" s="13" t="n">
        <f aca="false">J15*G15</f>
        <v>70</v>
      </c>
      <c r="L15" s="8" t="s">
        <v>144</v>
      </c>
      <c r="M15" s="8" t="s">
        <v>195</v>
      </c>
      <c r="N15" s="8" t="s">
        <v>38</v>
      </c>
      <c r="O15" s="8" t="s">
        <v>61</v>
      </c>
      <c r="P15" s="9" t="s">
        <v>196</v>
      </c>
    </row>
  </sheetData>
  <autoFilter ref="A1:P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20" t="s">
        <v>197</v>
      </c>
    </row>
    <row r="3" customFormat="false" ht="23.85" hidden="false" customHeight="false" outlineLevel="0" collapsed="false">
      <c r="A3" s="21" t="s">
        <v>198</v>
      </c>
      <c r="B3" s="22" t="s">
        <v>199</v>
      </c>
    </row>
    <row r="4" customFormat="false" ht="23.85" hidden="false" customHeight="false" outlineLevel="0" collapsed="false">
      <c r="A4" s="21" t="s">
        <v>200</v>
      </c>
      <c r="B4" s="22" t="s">
        <v>201</v>
      </c>
    </row>
    <row r="5" customFormat="false" ht="35.05" hidden="false" customHeight="false" outlineLevel="0" collapsed="false">
      <c r="A5" s="21" t="s">
        <v>202</v>
      </c>
      <c r="B5" s="22" t="s">
        <v>203</v>
      </c>
    </row>
    <row r="6" customFormat="false" ht="23.85" hidden="false" customHeight="false" outlineLevel="0" collapsed="false">
      <c r="A6" s="21" t="s">
        <v>204</v>
      </c>
      <c r="B6" s="22" t="s">
        <v>205</v>
      </c>
    </row>
    <row r="7" customFormat="false" ht="23.85" hidden="false" customHeight="false" outlineLevel="0" collapsed="false">
      <c r="A7" s="21" t="s">
        <v>206</v>
      </c>
      <c r="B7" s="22" t="s">
        <v>207</v>
      </c>
    </row>
    <row r="8" customFormat="false" ht="23.85" hidden="false" customHeight="false" outlineLevel="0" collapsed="false">
      <c r="A8" s="21" t="s">
        <v>208</v>
      </c>
      <c r="B8" s="22" t="s">
        <v>209</v>
      </c>
    </row>
    <row r="9" customFormat="false" ht="23.85" hidden="false" customHeight="false" outlineLevel="0" collapsed="false">
      <c r="A9" s="21" t="s">
        <v>10</v>
      </c>
      <c r="B9" s="22" t="s">
        <v>210</v>
      </c>
    </row>
    <row r="10" customFormat="false" ht="23.85" hidden="false" customHeight="false" outlineLevel="0" collapsed="false">
      <c r="A10" s="21" t="s">
        <v>211</v>
      </c>
      <c r="B10" s="22" t="s">
        <v>212</v>
      </c>
    </row>
    <row r="11" customFormat="false" ht="15" hidden="false" customHeight="false" outlineLevel="0" collapsed="false">
      <c r="A11" s="21" t="s">
        <v>213</v>
      </c>
      <c r="B11" s="22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2026-06-04T20:09:16Z</dcterms:created>
  <dc:creator>openpyxl</dc:creator>
  <dc:description/>
  <dc:language>en-US</dc:language>
  <cp:lastModifiedBy/>
  <dcterms:modified xsi:type="dcterms:W3CDTF">2026-06-04T20:09:16Z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