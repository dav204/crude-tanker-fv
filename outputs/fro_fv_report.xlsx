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FRO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39.34</v>
      </c>
    </row>
    <row r="5">
      <c r="A5" s="1" t="inlineStr">
        <is>
          <t>Model fair value</t>
        </is>
      </c>
      <c r="B5" t="n">
        <v>26.41050122819077</v>
      </c>
    </row>
    <row r="6">
      <c r="A6" s="1" t="inlineStr">
        <is>
          <t>Analyst target</t>
        </is>
      </c>
      <c r="B6" t="n">
        <v>30.5</v>
      </c>
    </row>
    <row r="7">
      <c r="A7" s="1" t="inlineStr">
        <is>
          <t>NAV / share</t>
        </is>
      </c>
      <c r="B7" t="n">
        <v>24.10733770901035</v>
      </c>
    </row>
    <row r="8">
      <c r="A8" s="1" t="inlineStr">
        <is>
          <t>DivStrip implied price</t>
        </is>
      </c>
      <c r="B8" t="n">
        <v>31.78454943961176</v>
      </c>
    </row>
    <row r="9">
      <c r="A9" s="1" t="inlineStr">
        <is>
          <t>12M TC cycle input VLCC ($/day)</t>
        </is>
      </c>
      <c r="B9" t="n">
        <v>111500</v>
      </c>
    </row>
    <row r="10">
      <c r="A10" s="1" t="inlineStr">
        <is>
          <t>12M FFA strip VLCC ($/day)</t>
        </is>
      </c>
      <c r="B10" t="n">
        <v>155000</v>
      </c>
    </row>
    <row r="11">
      <c r="A11" s="1" t="inlineStr">
        <is>
          <t>Cycle position</t>
        </is>
      </c>
      <c r="B11" t="n">
        <v>2.566246593704207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431515.4568805187</v>
      </c>
    </row>
    <row r="16">
      <c r="A16" s="1" t="inlineStr">
        <is>
          <t>Breakeven multiplier (× forward)</t>
        </is>
      </c>
      <c r="B16" t="n">
        <v>3.32239517723981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VLCC</t>
        </is>
      </c>
      <c r="B2" t="n">
        <v>5357.939979328807</v>
      </c>
    </row>
    <row r="3">
      <c r="A3" t="inlineStr">
        <is>
          <t>Fleet value — Suezmax</t>
        </is>
      </c>
      <c r="B3" t="n">
        <v>1633.737959251722</v>
      </c>
    </row>
    <row r="4">
      <c r="A4" t="inlineStr">
        <is>
          <t>Fleet value — LR2</t>
        </is>
      </c>
      <c r="B4" t="n">
        <v>1164.022228297996</v>
      </c>
    </row>
    <row r="5">
      <c r="A5" t="inlineStr">
        <is>
          <t>+ Cash &amp; equivalents</t>
        </is>
      </c>
      <c r="B5" t="n">
        <v>471.672</v>
      </c>
    </row>
    <row r="6">
      <c r="A6" t="inlineStr">
        <is>
          <t>+ Working capital (net)</t>
        </is>
      </c>
      <c r="B6" t="n">
        <v>295.56</v>
      </c>
    </row>
    <row r="7">
      <c r="A7" t="inlineStr">
        <is>
          <t>- Total debt</t>
        </is>
      </c>
      <c r="B7" t="n">
        <v>-2631.087</v>
      </c>
    </row>
    <row r="8">
      <c r="A8" t="inlineStr">
        <is>
          <t>- Lease liabilities</t>
        </is>
      </c>
      <c r="B8" t="n">
        <v>-0</v>
      </c>
    </row>
    <row r="9">
      <c r="A9" t="inlineStr">
        <is>
          <t>- Newbuild commitments</t>
        </is>
      </c>
      <c r="B9" t="n">
        <v>-925</v>
      </c>
    </row>
    <row r="10">
      <c r="A10" t="inlineStr">
        <is>
          <t>+ Newbuild advances</t>
        </is>
      </c>
      <c r="B10" t="n">
        <v>0</v>
      </c>
    </row>
    <row r="11">
      <c r="A11">
        <f> NAV total</f>
        <v/>
      </c>
      <c r="B11" t="n">
        <v>5366.845166878525</v>
      </c>
    </row>
    <row r="12">
      <c r="A12" t="inlineStr">
        <is>
          <t>Diluted shares</t>
        </is>
      </c>
      <c r="B12" t="n">
        <v>222622889</v>
      </c>
    </row>
    <row r="13">
      <c r="A13" t="inlineStr">
        <is>
          <t>NAV / share</t>
        </is>
      </c>
      <c r="B13" t="n">
        <v>24.10733770901035</v>
      </c>
    </row>
    <row r="14">
      <c r="A14" t="inlineStr">
        <is>
          <t>NAV / share (ex yard discount)</t>
        </is>
      </c>
      <c r="B14" t="n">
        <v>25.40052807143319</v>
      </c>
    </row>
    <row r="15">
      <c r="A15" t="inlineStr">
        <is>
          <t>Yard-discount impact / share</t>
        </is>
      </c>
      <c r="B15" t="n">
        <v>-1.293190362422845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VLCC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147500</v>
      </c>
      <c r="C2" t="n">
        <v>128750</v>
      </c>
      <c r="D2" t="n">
        <v>2.592009958986068</v>
      </c>
      <c r="E2" t="n">
        <v>2.462409461036765</v>
      </c>
      <c r="F2" t="n">
        <v>2.398996014323648</v>
      </c>
    </row>
    <row r="3">
      <c r="A3" t="inlineStr">
        <is>
          <t>Q2</t>
        </is>
      </c>
      <c r="B3" t="n">
        <v>183500</v>
      </c>
      <c r="C3" t="n">
        <v>153950</v>
      </c>
      <c r="D3" t="n">
        <v>3.296654021107865</v>
      </c>
      <c r="E3" t="n">
        <v>3.131821320052472</v>
      </c>
      <c r="F3" t="n">
        <v>2.97259324719595</v>
      </c>
    </row>
    <row r="4">
      <c r="A4" t="inlineStr">
        <is>
          <t>Q3</t>
        </is>
      </c>
      <c r="B4" t="n">
        <v>165500</v>
      </c>
      <c r="C4" t="n">
        <v>141350</v>
      </c>
      <c r="D4" t="n">
        <v>3.086614284737249</v>
      </c>
      <c r="E4" t="n">
        <v>2.932283570500387</v>
      </c>
      <c r="F4" t="n">
        <v>2.711525749282142</v>
      </c>
    </row>
    <row r="5">
      <c r="A5" t="inlineStr">
        <is>
          <t>Q4</t>
        </is>
      </c>
      <c r="B5" t="n">
        <v>123500</v>
      </c>
      <c r="C5" t="n">
        <v>111950</v>
      </c>
      <c r="D5" t="n">
        <v>2.332387377163406</v>
      </c>
      <c r="E5" t="n">
        <v>2.215768008305235</v>
      </c>
      <c r="F5" t="n">
        <v>1.996187394869581</v>
      </c>
    </row>
    <row r="6">
      <c r="A6" t="inlineStr">
        <is>
          <t>Q5</t>
        </is>
      </c>
      <c r="B6" t="n">
        <v>111500</v>
      </c>
      <c r="C6" t="n">
        <v>103550</v>
      </c>
      <c r="D6" t="n">
        <v>2.106844261833742</v>
      </c>
      <c r="E6" t="n">
        <v>2.001502048742054</v>
      </c>
      <c r="F6" t="n">
        <v>1.756719068837441</v>
      </c>
    </row>
    <row r="7">
      <c r="A7" t="inlineStr">
        <is>
          <t>Q6</t>
        </is>
      </c>
      <c r="B7" t="n">
        <v>135500</v>
      </c>
      <c r="C7" t="n">
        <v>120350</v>
      </c>
      <c r="D7" t="n">
        <v>2.585017335807281</v>
      </c>
      <c r="E7" t="n">
        <v>2.455766469016917</v>
      </c>
      <c r="F7" t="n">
        <v>2.099919261052511</v>
      </c>
    </row>
    <row r="8">
      <c r="A8" t="inlineStr">
        <is>
          <t>Q7</t>
        </is>
      </c>
      <c r="B8" t="n">
        <v>147500</v>
      </c>
      <c r="C8" t="n">
        <v>128750</v>
      </c>
      <c r="D8" t="n">
        <v>2.776611607516467</v>
      </c>
      <c r="E8" t="n">
        <v>2.637781027140643</v>
      </c>
      <c r="F8" t="n">
        <v>2.197472896874812</v>
      </c>
    </row>
    <row r="9">
      <c r="A9" t="inlineStr">
        <is>
          <t>Q8</t>
        </is>
      </c>
      <c r="B9" t="n">
        <v>105500</v>
      </c>
      <c r="C9" t="n">
        <v>99350</v>
      </c>
      <c r="D9" t="n">
        <v>1.992537783047771</v>
      </c>
      <c r="E9" t="n">
        <v>1.892910893895382</v>
      </c>
      <c r="F9" t="n">
        <v>1.536328945617549</v>
      </c>
    </row>
    <row r="10">
      <c r="A10" t="inlineStr">
        <is>
          <t>Sum disc. DPS</t>
        </is>
      </c>
      <c r="F10" t="n">
        <v>17.66974257805363</v>
      </c>
    </row>
    <row r="11">
      <c r="A11" t="inlineStr">
        <is>
          <t>Terminal value (q9)</t>
        </is>
      </c>
      <c r="E11" t="n">
        <v>17.85055165671429</v>
      </c>
      <c r="F11" t="n">
        <v>14.11480686155813</v>
      </c>
    </row>
    <row r="12">
      <c r="A12" t="inlineStr">
        <is>
          <t>DivStrip implied price</t>
        </is>
      </c>
      <c r="F12" t="n">
        <v>31.78454943961176</v>
      </c>
    </row>
    <row r="13">
      <c r="A13" t="inlineStr">
        <is>
          <t>12M FFA strip (front 4q)</t>
        </is>
      </c>
      <c r="B13" t="n">
        <v>155000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18.21950795115835</v>
      </c>
      <c r="C2" t="n">
        <v>21.47990777463708</v>
      </c>
      <c r="D2" t="n">
        <v>24.7403075981158</v>
      </c>
      <c r="E2" t="n">
        <v>28.00070742159452</v>
      </c>
      <c r="F2" t="n">
        <v>31.26110724507324</v>
      </c>
    </row>
    <row r="3">
      <c r="A3" t="inlineStr">
        <is>
          <t>-15%</t>
        </is>
      </c>
      <c r="B3" t="n">
        <v>19.05460476619583</v>
      </c>
      <c r="C3" t="n">
        <v>22.31500458967456</v>
      </c>
      <c r="D3" t="n">
        <v>25.57540441315329</v>
      </c>
      <c r="E3" t="n">
        <v>28.835804236632</v>
      </c>
      <c r="F3" t="n">
        <v>32.09620406011073</v>
      </c>
    </row>
    <row r="4">
      <c r="A4" t="inlineStr">
        <is>
          <t>+0%</t>
        </is>
      </c>
      <c r="B4" t="n">
        <v>19.88970158123332</v>
      </c>
      <c r="C4" t="n">
        <v>23.15010140471205</v>
      </c>
      <c r="D4" t="n">
        <v>26.41050122819077</v>
      </c>
      <c r="E4" t="n">
        <v>29.67090105166949</v>
      </c>
      <c r="F4" t="n">
        <v>32.93130087514822</v>
      </c>
    </row>
    <row r="5">
      <c r="A5" t="inlineStr">
        <is>
          <t>+15%</t>
        </is>
      </c>
      <c r="B5" t="n">
        <v>20.72479839627081</v>
      </c>
      <c r="C5" t="n">
        <v>23.98519821974953</v>
      </c>
      <c r="D5" t="n">
        <v>27.24559804322826</v>
      </c>
      <c r="E5" t="n">
        <v>30.50599786670698</v>
      </c>
      <c r="F5" t="n">
        <v>33.7663976901857</v>
      </c>
    </row>
    <row r="6">
      <c r="A6" t="inlineStr">
        <is>
          <t>+30%</t>
        </is>
      </c>
      <c r="B6" t="n">
        <v>21.55989521130829</v>
      </c>
      <c r="C6" t="n">
        <v>24.82029503478702</v>
      </c>
      <c r="D6" t="n">
        <v>28.08069485826574</v>
      </c>
      <c r="E6" t="n">
        <v>31.34109468174447</v>
      </c>
      <c r="F6" t="n">
        <v>34.60149450522319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26.31</v>
      </c>
    </row>
    <row r="3">
      <c r="A3" t="n">
        <v>0.95</v>
      </c>
      <c r="B3" t="n">
        <v>26.41</v>
      </c>
    </row>
    <row r="4">
      <c r="A4" t="n">
        <v>1</v>
      </c>
      <c r="B4" t="n">
        <v>26.44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$285,500/day is 7.1x the 10-yr mean ($40,000) — unsustainable as a level. Confirm it is a genuine cycle spike (not a unit/source error) and do not anchor valuation to it.</t>
        </is>
      </c>
    </row>
    <row r="3">
      <c r="A3" t="inlineStr">
        <is>
          <t>LR2 FFA forward curve is CONSTRUCTED (no market anchor) — built from the 12M TC + spot, not a Baltic / $MT / Worldscale series. Treat its dividend-strip contribution as indicative.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2026-07-31T18:33:06Z</dcterms:created>
  <dcterms:modified xsi:type="dcterms:W3CDTF">2026-07-31T18:33:06Z</dcterms:modified>
</cp:coreProperties>
</file>