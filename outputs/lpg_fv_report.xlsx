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NAV" sheetId="2" state="visible" r:id="rId2"/>
    <sheet name="DivStrip" sheetId="3" state="visible" r:id="rId3"/>
    <sheet name="Sensitivity" sheetId="4" state="visible" r:id="rId4"/>
    <sheet name="Payout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35" customWidth="1" min="1" max="1"/>
    <col width="20" customWidth="1" min="2" max="2"/>
  </cols>
  <sheetData>
    <row r="1">
      <c r="A1" s="1" t="inlineStr">
        <is>
          <t>Ticker</t>
        </is>
      </c>
      <c r="B1" t="inlineStr">
        <is>
          <t>LPG</t>
        </is>
      </c>
    </row>
    <row r="2">
      <c r="A2" s="1" t="inlineStr">
        <is>
          <t>Valuation basis</t>
        </is>
      </c>
      <c r="B2" t="inlineStr">
        <is>
          <t>whole-company</t>
        </is>
      </c>
    </row>
    <row r="3">
      <c r="A3" s="1" t="inlineStr">
        <is>
          <t>Report date</t>
        </is>
      </c>
      <c r="B3" t="inlineStr">
        <is>
          <t>2026-Q2</t>
        </is>
      </c>
    </row>
    <row r="4">
      <c r="A4" s="1" t="inlineStr">
        <is>
          <t>Current price</t>
        </is>
      </c>
      <c r="B4" t="n">
        <v>49.78</v>
      </c>
    </row>
    <row r="5">
      <c r="A5" s="1" t="inlineStr">
        <is>
          <t>Model fair value</t>
        </is>
      </c>
      <c r="B5" t="n">
        <v>33.92810769595069</v>
      </c>
    </row>
    <row r="6">
      <c r="A6" s="1" t="inlineStr">
        <is>
          <t>Analyst target</t>
        </is>
      </c>
      <c r="B6" t="n">
        <v>54</v>
      </c>
    </row>
    <row r="7">
      <c r="A7" s="1" t="inlineStr">
        <is>
          <t>NAV / share</t>
        </is>
      </c>
      <c r="B7" t="n">
        <v>35.69082141459143</v>
      </c>
    </row>
    <row r="8">
      <c r="A8" s="1" t="inlineStr">
        <is>
          <t>DivStrip implied price</t>
        </is>
      </c>
      <c r="B8" t="n">
        <v>29.81510901912227</v>
      </c>
    </row>
    <row r="9">
      <c r="A9" s="1" t="inlineStr">
        <is>
          <t>12M TC cycle input VLGC ($/day)</t>
        </is>
      </c>
      <c r="B9" t="n">
        <v>63615</v>
      </c>
    </row>
    <row r="10">
      <c r="A10" s="1" t="inlineStr">
        <is>
          <t>12M FFA strip VLGC ($/day)</t>
        </is>
      </c>
      <c r="B10" t="n">
        <v>52500</v>
      </c>
    </row>
    <row r="11">
      <c r="A11" s="1" t="inlineStr">
        <is>
          <t>Cycle position</t>
        </is>
      </c>
      <c r="B11" t="n">
        <v>1.590375</v>
      </c>
    </row>
    <row r="12">
      <c r="A12" s="1" t="inlineStr">
        <is>
          <t>Cycle band</t>
        </is>
      </c>
      <c r="B12" t="inlineStr">
        <is>
          <t>late-cycle/peak</t>
        </is>
      </c>
    </row>
    <row r="13">
      <c r="A13" s="1" t="inlineStr">
        <is>
          <t>w_nav</t>
        </is>
      </c>
      <c r="B13" t="n">
        <v>0.7</v>
      </c>
    </row>
    <row r="14">
      <c r="A14" s="1" t="inlineStr">
        <is>
          <t>w_earn</t>
        </is>
      </c>
      <c r="B14" t="n">
        <v>0.3</v>
      </c>
    </row>
    <row r="15">
      <c r="A15" s="1" t="inlineStr">
        <is>
          <t>Implied breakeven blended ($/day)</t>
        </is>
      </c>
      <c r="B15" t="n">
        <v>281758.5152612872</v>
      </c>
    </row>
    <row r="16">
      <c r="A16" s="1" t="inlineStr">
        <is>
          <t>Breakeven multiplier (× forward)</t>
        </is>
      </c>
      <c r="B16" t="n">
        <v>5.366828862119755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3"/>
  <sheetViews>
    <sheetView workbookViewId="0">
      <selection activeCell="A1" sqref="A1"/>
    </sheetView>
  </sheetViews>
  <sheetFormatPr baseColWidth="8" defaultRowHeight="15"/>
  <cols>
    <col width="32" customWidth="1" min="1" max="1"/>
    <col width="20" customWidth="1" min="2" max="2"/>
  </cols>
  <sheetData>
    <row r="1">
      <c r="A1" s="1" t="inlineStr">
        <is>
          <t>Item</t>
        </is>
      </c>
      <c r="B1" s="1" t="inlineStr">
        <is>
          <t>$M</t>
        </is>
      </c>
    </row>
    <row r="2">
      <c r="A2" t="inlineStr">
        <is>
          <t>Fleet value — VLGC</t>
        </is>
      </c>
      <c r="B2" t="n">
        <v>1412.972369208434</v>
      </c>
    </row>
    <row r="3">
      <c r="A3" t="inlineStr">
        <is>
          <t>+ Cash &amp; equivalents</t>
        </is>
      </c>
      <c r="B3" t="n">
        <v>342.141482</v>
      </c>
    </row>
    <row r="4">
      <c r="A4" t="inlineStr">
        <is>
          <t>+ Working capital (net)</t>
        </is>
      </c>
      <c r="B4" t="n">
        <v>202.889509</v>
      </c>
    </row>
    <row r="5">
      <c r="A5" t="inlineStr">
        <is>
          <t>- Total debt</t>
        </is>
      </c>
      <c r="B5" t="n">
        <v>-512.40934</v>
      </c>
    </row>
    <row r="6">
      <c r="A6" t="inlineStr">
        <is>
          <t>- Lease liabilities</t>
        </is>
      </c>
      <c r="B6" t="n">
        <v>-138.694069</v>
      </c>
    </row>
    <row r="7">
      <c r="A7" t="inlineStr">
        <is>
          <t>- Newbuild commitments</t>
        </is>
      </c>
      <c r="B7" t="n">
        <v>-0</v>
      </c>
    </row>
    <row r="8">
      <c r="A8" t="inlineStr">
        <is>
          <t>+ Newbuild advances</t>
        </is>
      </c>
      <c r="B8" t="n">
        <v>0</v>
      </c>
    </row>
    <row r="9">
      <c r="A9">
        <f> NAV total</f>
        <v/>
      </c>
      <c r="B9" t="n">
        <v>1526.949027208434</v>
      </c>
    </row>
    <row r="10">
      <c r="A10" t="inlineStr">
        <is>
          <t>Diluted shares</t>
        </is>
      </c>
      <c r="B10" t="n">
        <v>42782681</v>
      </c>
    </row>
    <row r="11">
      <c r="A11" t="inlineStr">
        <is>
          <t>NAV / share</t>
        </is>
      </c>
      <c r="B11" t="n">
        <v>35.69082141459143</v>
      </c>
    </row>
    <row r="12">
      <c r="A12" t="inlineStr">
        <is>
          <t>NAV / share (ex yard discount)</t>
        </is>
      </c>
      <c r="B12" t="n">
        <v>35.69082141459143</v>
      </c>
    </row>
    <row r="13">
      <c r="A13" t="inlineStr">
        <is>
          <t>Yard-discount impact / share</t>
        </is>
      </c>
      <c r="B13" t="n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3"/>
  <sheetViews>
    <sheetView workbookViewId="0">
      <selection activeCell="A1" sqref="A1"/>
    </sheetView>
  </sheetViews>
  <sheetFormatPr baseColWidth="8" defaultRowHeight="15"/>
  <cols>
    <col width="26" customWidth="1" min="1" max="1"/>
    <col width="23" customWidth="1" min="2" max="2"/>
    <col width="21" customWidth="1" min="3" max="3"/>
    <col width="20" customWidth="1" min="4" max="4"/>
    <col width="21" customWidth="1" min="5" max="5"/>
    <col width="21" customWidth="1" min="6" max="6"/>
  </cols>
  <sheetData>
    <row r="1">
      <c r="A1" s="1" t="inlineStr">
        <is>
          <t>Quarter</t>
        </is>
      </c>
      <c r="B1" s="1" t="inlineStr">
        <is>
          <t>FFA spot VLGC ($/day)</t>
        </is>
      </c>
      <c r="C1" s="1" t="inlineStr">
        <is>
          <t>Blended TCE ($/day)</t>
        </is>
      </c>
      <c r="D1" s="1" t="inlineStr">
        <is>
          <t>EPS</t>
        </is>
      </c>
      <c r="E1" s="1" t="inlineStr">
        <is>
          <t>DPS</t>
        </is>
      </c>
      <c r="F1" s="1" t="inlineStr">
        <is>
          <t>Disc. DPS</t>
        </is>
      </c>
    </row>
    <row r="2">
      <c r="A2" t="inlineStr">
        <is>
          <t>Q1</t>
        </is>
      </c>
      <c r="B2" t="n">
        <v>62000</v>
      </c>
      <c r="C2" t="n">
        <v>62000</v>
      </c>
      <c r="D2" t="n">
        <v>1.446751957877535</v>
      </c>
      <c r="E2" t="n">
        <v>0.8680511747265207</v>
      </c>
      <c r="F2" t="n">
        <v>0.8456965997527863</v>
      </c>
    </row>
    <row r="3">
      <c r="A3" t="inlineStr">
        <is>
          <t>Q2</t>
        </is>
      </c>
      <c r="B3" t="n">
        <v>55000</v>
      </c>
      <c r="C3" t="n">
        <v>55000</v>
      </c>
      <c r="D3" t="n">
        <v>1.18338487249081</v>
      </c>
      <c r="E3" t="n">
        <v>0.710030923494486</v>
      </c>
      <c r="F3" t="n">
        <v>0.6739315282663224</v>
      </c>
    </row>
    <row r="4">
      <c r="A4" t="inlineStr">
        <is>
          <t>Q3</t>
        </is>
      </c>
      <c r="B4" t="n">
        <v>48000</v>
      </c>
      <c r="C4" t="n">
        <v>48000</v>
      </c>
      <c r="D4" t="n">
        <v>0.9200177871040854</v>
      </c>
      <c r="E4" t="n">
        <v>0.5520106722624513</v>
      </c>
      <c r="F4" t="n">
        <v>0.5104523882943416</v>
      </c>
    </row>
    <row r="5">
      <c r="A5" t="inlineStr">
        <is>
          <t>Q4</t>
        </is>
      </c>
      <c r="B5" t="n">
        <v>45000</v>
      </c>
      <c r="C5" t="n">
        <v>45000</v>
      </c>
      <c r="D5" t="n">
        <v>0.8071461790812035</v>
      </c>
      <c r="E5" t="n">
        <v>0.4842877074487221</v>
      </c>
      <c r="F5" t="n">
        <v>0.4362952319357856</v>
      </c>
    </row>
    <row r="6">
      <c r="A6" t="inlineStr">
        <is>
          <t>Q5</t>
        </is>
      </c>
      <c r="B6" t="n">
        <v>43000</v>
      </c>
      <c r="C6" t="n">
        <v>43000</v>
      </c>
      <c r="D6" t="n">
        <v>0.7318984403992821</v>
      </c>
      <c r="E6" t="n">
        <v>0.4391390642395692</v>
      </c>
      <c r="F6" t="n">
        <v>0.3854325147985407</v>
      </c>
    </row>
    <row r="7">
      <c r="A7" t="inlineStr">
        <is>
          <t>Q6</t>
        </is>
      </c>
      <c r="B7" t="n">
        <v>42000</v>
      </c>
      <c r="C7" t="n">
        <v>42000</v>
      </c>
      <c r="D7" t="n">
        <v>0.6942745710583215</v>
      </c>
      <c r="E7" t="n">
        <v>0.4165647426349929</v>
      </c>
      <c r="F7" t="n">
        <v>0.3562033839825093</v>
      </c>
    </row>
    <row r="8">
      <c r="A8" t="inlineStr">
        <is>
          <t>Q7</t>
        </is>
      </c>
      <c r="B8" t="n">
        <v>41000</v>
      </c>
      <c r="C8" t="n">
        <v>41000</v>
      </c>
      <c r="D8" t="n">
        <v>0.6566507017173608</v>
      </c>
      <c r="E8" t="n">
        <v>0.3939904210304165</v>
      </c>
      <c r="F8" t="n">
        <v>0.3282240879490841</v>
      </c>
    </row>
    <row r="9">
      <c r="A9" t="inlineStr">
        <is>
          <t>Q8</t>
        </is>
      </c>
      <c r="B9" t="n">
        <v>40000</v>
      </c>
      <c r="C9" t="n">
        <v>40000</v>
      </c>
      <c r="D9" t="n">
        <v>0.6190268323764002</v>
      </c>
      <c r="E9" t="n">
        <v>0.3714160994258401</v>
      </c>
      <c r="F9" t="n">
        <v>0.3014496383620162</v>
      </c>
    </row>
    <row r="10">
      <c r="A10" t="inlineStr">
        <is>
          <t>Sum disc. DPS</t>
        </is>
      </c>
      <c r="F10" t="n">
        <v>3.837685373341386</v>
      </c>
    </row>
    <row r="11">
      <c r="A11" t="inlineStr">
        <is>
          <t>Terminal value (q9)</t>
        </is>
      </c>
      <c r="E11" t="n">
        <v>32.85282946097458</v>
      </c>
      <c r="F11" t="n">
        <v>25.97742364578089</v>
      </c>
    </row>
    <row r="12">
      <c r="A12" t="inlineStr">
        <is>
          <t>DivStrip implied price</t>
        </is>
      </c>
      <c r="F12" t="n">
        <v>29.81510901912227</v>
      </c>
    </row>
    <row r="13">
      <c r="A13" t="inlineStr">
        <is>
          <t>12M FFA strip (front 4q)</t>
        </is>
      </c>
      <c r="B13" t="n">
        <v>52500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14" customWidth="1" min="1" max="1"/>
    <col width="20" customWidth="1" min="2" max="2"/>
    <col width="20" customWidth="1" min="3" max="3"/>
    <col width="20" customWidth="1" min="4" max="4"/>
    <col width="20" customWidth="1" min="5" max="5"/>
    <col width="19" customWidth="1" min="6" max="6"/>
  </cols>
  <sheetData>
    <row r="1">
      <c r="A1" s="1" t="inlineStr">
        <is>
          <t>TCE \ Vessel</t>
        </is>
      </c>
      <c r="B1" s="1" t="inlineStr">
        <is>
          <t>-20%</t>
        </is>
      </c>
      <c r="C1" s="1" t="inlineStr">
        <is>
          <t>-10%</t>
        </is>
      </c>
      <c r="D1" s="1" t="inlineStr">
        <is>
          <t>+0%</t>
        </is>
      </c>
      <c r="E1" s="1" t="inlineStr">
        <is>
          <t>+10%</t>
        </is>
      </c>
      <c r="F1" s="1" t="inlineStr">
        <is>
          <t>+20%</t>
        </is>
      </c>
    </row>
    <row r="2">
      <c r="A2" t="inlineStr">
        <is>
          <t>-30%</t>
        </is>
      </c>
      <c r="B2" t="n">
        <v>26.9170547012132</v>
      </c>
      <c r="C2" t="n">
        <v>29.87807077220972</v>
      </c>
      <c r="D2" t="n">
        <v>32.83908684320622</v>
      </c>
      <c r="E2" t="n">
        <v>35.80010291420274</v>
      </c>
      <c r="F2" t="n">
        <v>38.76111898519925</v>
      </c>
    </row>
    <row r="3">
      <c r="A3" t="inlineStr">
        <is>
          <t>-15%</t>
        </is>
      </c>
      <c r="B3" t="n">
        <v>27.46156512758544</v>
      </c>
      <c r="C3" t="n">
        <v>30.42258119858195</v>
      </c>
      <c r="D3" t="n">
        <v>33.38359726957845</v>
      </c>
      <c r="E3" t="n">
        <v>36.34461334057497</v>
      </c>
      <c r="F3" t="n">
        <v>39.30562941157149</v>
      </c>
    </row>
    <row r="4">
      <c r="A4" t="inlineStr">
        <is>
          <t>+0%</t>
        </is>
      </c>
      <c r="B4" t="n">
        <v>28.00607555395767</v>
      </c>
      <c r="C4" t="n">
        <v>30.96709162495419</v>
      </c>
      <c r="D4" t="n">
        <v>33.92810769595069</v>
      </c>
      <c r="E4" t="n">
        <v>36.88912376694721</v>
      </c>
      <c r="F4" t="n">
        <v>39.85013983794372</v>
      </c>
    </row>
    <row r="5">
      <c r="A5" t="inlineStr">
        <is>
          <t>+15%</t>
        </is>
      </c>
      <c r="B5" t="n">
        <v>28.5505859803299</v>
      </c>
      <c r="C5" t="n">
        <v>31.51160205132641</v>
      </c>
      <c r="D5" t="n">
        <v>34.47261812232291</v>
      </c>
      <c r="E5" t="n">
        <v>37.43363419331943</v>
      </c>
      <c r="F5" t="n">
        <v>40.39465026431595</v>
      </c>
    </row>
    <row r="6">
      <c r="A6" t="inlineStr">
        <is>
          <t>+30%</t>
        </is>
      </c>
      <c r="B6" t="n">
        <v>29.09509640670213</v>
      </c>
      <c r="C6" t="n">
        <v>32.05611247769865</v>
      </c>
      <c r="D6" t="n">
        <v>35.01712854869515</v>
      </c>
      <c r="E6" t="n">
        <v>37.97814461969167</v>
      </c>
      <c r="F6" t="n">
        <v>40.93916069068818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cols>
    <col width="17" customWidth="1" min="1" max="1"/>
    <col width="12" customWidth="1" min="2" max="2"/>
  </cols>
  <sheetData>
    <row r="1">
      <c r="A1" s="1" t="inlineStr">
        <is>
          <t>Dividend payout</t>
        </is>
      </c>
      <c r="B1" s="1" t="inlineStr">
        <is>
          <t>Fair value</t>
        </is>
      </c>
    </row>
    <row r="2">
      <c r="A2" t="n">
        <v>0.8</v>
      </c>
      <c r="B2" t="n">
        <v>33.98</v>
      </c>
    </row>
    <row r="3">
      <c r="A3" t="n">
        <v>0.95</v>
      </c>
      <c r="B3" t="n">
        <v>34.01</v>
      </c>
    </row>
    <row r="4">
      <c r="A4" t="n">
        <v>1</v>
      </c>
      <c r="B4" t="n">
        <v>34.03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2026-08-31T19:21:53Z</dcterms:created>
  <dcterms:modified xsi:type="dcterms:W3CDTF">2026-08-31T19:21:53Z</dcterms:modified>
</cp:coreProperties>
</file>