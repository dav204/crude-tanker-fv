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ummary" sheetId="1" state="visible" r:id="rId1"/>
    <sheet name="NAV" sheetId="2" state="visible" r:id="rId2"/>
    <sheet name="DivStrip" sheetId="3" state="visible" r:id="rId3"/>
    <sheet name="Sensitivity" sheetId="4" state="visible" r:id="rId4"/>
    <sheet name="Payout" sheetId="5" state="visible" r:id="rId5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2">
    <font>
      <name val="Calibri"/>
      <family val="2"/>
      <color theme="1"/>
      <sz val="11"/>
      <scheme val="minor"/>
    </font>
    <font>
      <b val="1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2">
    <xf numFmtId="0" fontId="0" fillId="0" borderId="0" pivotButton="0" quotePrefix="0" xfId="0"/>
    <xf numFmtId="0" fontId="1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styles" Target="styles.xml" Id="rId6" /><Relationship Type="http://schemas.openxmlformats.org/officeDocument/2006/relationships/theme" Target="theme/theme1.xml" Id="rId7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B16"/>
  <sheetViews>
    <sheetView workbookViewId="0">
      <selection activeCell="A1" sqref="A1"/>
    </sheetView>
  </sheetViews>
  <sheetFormatPr baseColWidth="8" defaultRowHeight="15"/>
  <cols>
    <col width="35" customWidth="1" min="1" max="1"/>
    <col width="20" customWidth="1" min="2" max="2"/>
  </cols>
  <sheetData>
    <row r="1">
      <c r="A1" s="1" t="inlineStr">
        <is>
          <t>Ticker</t>
        </is>
      </c>
      <c r="B1" t="inlineStr">
        <is>
          <t>CCEC</t>
        </is>
      </c>
    </row>
    <row r="2">
      <c r="A2" s="1" t="inlineStr">
        <is>
          <t>Valuation basis</t>
        </is>
      </c>
      <c r="B2" t="inlineStr">
        <is>
          <t>whole-company</t>
        </is>
      </c>
    </row>
    <row r="3">
      <c r="A3" s="1" t="inlineStr">
        <is>
          <t>Report date</t>
        </is>
      </c>
      <c r="B3" t="inlineStr">
        <is>
          <t>2026-Q1</t>
        </is>
      </c>
    </row>
    <row r="4">
      <c r="A4" s="1" t="inlineStr">
        <is>
          <t>Current price</t>
        </is>
      </c>
      <c r="B4" t="n">
        <v>22.685</v>
      </c>
    </row>
    <row r="5">
      <c r="A5" s="1" t="inlineStr">
        <is>
          <t>Model fair value</t>
        </is>
      </c>
      <c r="B5" t="n">
        <v>32.08497705731303</v>
      </c>
    </row>
    <row r="6">
      <c r="A6" s="1" t="inlineStr">
        <is>
          <t>Analyst target</t>
        </is>
      </c>
      <c r="B6" t="n">
        <v>25.17</v>
      </c>
    </row>
    <row r="7">
      <c r="A7" s="1" t="inlineStr">
        <is>
          <t>NAV / share</t>
        </is>
      </c>
      <c r="B7" t="n">
        <v>28.09730805832722</v>
      </c>
    </row>
    <row r="8">
      <c r="A8" s="1" t="inlineStr">
        <is>
          <t>DivStrip implied price</t>
        </is>
      </c>
      <c r="B8" t="n">
        <v>34.74342305663691</v>
      </c>
    </row>
    <row r="9">
      <c r="A9" s="1" t="inlineStr">
        <is>
          <t>12M TC cycle input LNGC ($/day)</t>
        </is>
      </c>
      <c r="B9" t="n">
        <v>60000</v>
      </c>
    </row>
    <row r="10">
      <c r="A10" s="1" t="inlineStr">
        <is>
          <t>12M FFA strip LNGC ($/day)</t>
        </is>
      </c>
      <c r="B10" t="n">
        <v>63250</v>
      </c>
    </row>
    <row r="11">
      <c r="A11" s="1" t="inlineStr">
        <is>
          <t>Cycle position</t>
        </is>
      </c>
      <c r="B11" t="n">
        <v>0.7737341072279861</v>
      </c>
    </row>
    <row r="12">
      <c r="A12" s="1" t="inlineStr">
        <is>
          <t>Cycle band</t>
        </is>
      </c>
      <c r="B12" t="inlineStr">
        <is>
          <t>below-mid</t>
        </is>
      </c>
    </row>
    <row r="13">
      <c r="A13" s="1" t="inlineStr">
        <is>
          <t>w_nav</t>
        </is>
      </c>
      <c r="B13" t="n">
        <v>0.4</v>
      </c>
    </row>
    <row r="14">
      <c r="A14" s="1" t="inlineStr">
        <is>
          <t>w_earn</t>
        </is>
      </c>
      <c r="B14" t="n">
        <v>0.6</v>
      </c>
    </row>
    <row r="15">
      <c r="A15" s="1" t="inlineStr">
        <is>
          <t>Implied breakeven blended ($/day)</t>
        </is>
      </c>
      <c r="B15" t="n">
        <v>0</v>
      </c>
    </row>
    <row r="16">
      <c r="A16" s="1" t="inlineStr">
        <is>
          <t>Breakeven multiplier (× forward)</t>
        </is>
      </c>
      <c r="B16" t="n">
        <v>0</v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B14"/>
  <sheetViews>
    <sheetView workbookViewId="0">
      <selection activeCell="A1" sqref="A1"/>
    </sheetView>
  </sheetViews>
  <sheetFormatPr baseColWidth="8" defaultRowHeight="15"/>
  <cols>
    <col width="32" customWidth="1" min="1" max="1"/>
    <col width="19" customWidth="1" min="2" max="2"/>
  </cols>
  <sheetData>
    <row r="1">
      <c r="A1" s="1" t="inlineStr">
        <is>
          <t>Item</t>
        </is>
      </c>
      <c r="B1" s="1" t="inlineStr">
        <is>
          <t>$M</t>
        </is>
      </c>
    </row>
    <row r="2">
      <c r="A2" t="inlineStr">
        <is>
          <t>Fleet value — LNGC</t>
        </is>
      </c>
      <c r="B2" t="n">
        <v>5399.5</v>
      </c>
    </row>
    <row r="3">
      <c r="A3" t="inlineStr">
        <is>
          <t>Fleet value — MGC</t>
        </is>
      </c>
      <c r="B3" t="n">
        <v>585</v>
      </c>
    </row>
    <row r="4">
      <c r="A4" t="inlineStr">
        <is>
          <t>+ Cash &amp; equivalents</t>
        </is>
      </c>
      <c r="B4" t="n">
        <v>546.352</v>
      </c>
    </row>
    <row r="5">
      <c r="A5" t="inlineStr">
        <is>
          <t>+ Working capital (net)</t>
        </is>
      </c>
      <c r="B5" t="n">
        <v>12.852</v>
      </c>
    </row>
    <row r="6">
      <c r="A6" t="inlineStr">
        <is>
          <t>- Total debt</t>
        </is>
      </c>
      <c r="B6" t="n">
        <v>-2602.942</v>
      </c>
    </row>
    <row r="7">
      <c r="A7" t="inlineStr">
        <is>
          <t>- Lease liabilities</t>
        </is>
      </c>
      <c r="B7" t="n">
        <v>-0</v>
      </c>
    </row>
    <row r="8">
      <c r="A8" t="inlineStr">
        <is>
          <t>- Newbuild commitments</t>
        </is>
      </c>
      <c r="B8" t="n">
        <v>-2251.5</v>
      </c>
    </row>
    <row r="9">
      <c r="A9" t="inlineStr">
        <is>
          <t>+ Newbuild advances</t>
        </is>
      </c>
      <c r="B9" t="n">
        <v>0</v>
      </c>
    </row>
    <row r="10">
      <c r="A10">
        <f> NAV total</f>
        <v/>
      </c>
      <c r="B10" t="n">
        <v>1689.262</v>
      </c>
    </row>
    <row r="11">
      <c r="A11" t="inlineStr">
        <is>
          <t>Diluted shares</t>
        </is>
      </c>
      <c r="B11" t="n">
        <v>60121845</v>
      </c>
    </row>
    <row r="12">
      <c r="A12" t="inlineStr">
        <is>
          <t>NAV / share</t>
        </is>
      </c>
      <c r="B12" t="n">
        <v>28.09730805832722</v>
      </c>
    </row>
    <row r="13">
      <c r="A13" t="inlineStr">
        <is>
          <t>NAV / share (ex yard discount)</t>
        </is>
      </c>
      <c r="B13" t="n">
        <v>28.09730805832722</v>
      </c>
    </row>
    <row r="14">
      <c r="A14" t="inlineStr">
        <is>
          <t>Yard-discount impact / share</t>
        </is>
      </c>
      <c r="B14" t="n">
        <v>0</v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F13"/>
  <sheetViews>
    <sheetView workbookViewId="0">
      <selection activeCell="A1" sqref="A1"/>
    </sheetView>
  </sheetViews>
  <sheetFormatPr baseColWidth="8" defaultRowHeight="15"/>
  <cols>
    <col width="26" customWidth="1" min="1" max="1"/>
    <col width="23" customWidth="1" min="2" max="2"/>
    <col width="21" customWidth="1" min="3" max="3"/>
    <col width="20" customWidth="1" min="4" max="4"/>
    <col width="19" customWidth="1" min="5" max="5"/>
    <col width="21" customWidth="1" min="6" max="6"/>
  </cols>
  <sheetData>
    <row r="1">
      <c r="A1" s="1" t="inlineStr">
        <is>
          <t>Quarter</t>
        </is>
      </c>
      <c r="B1" s="1" t="inlineStr">
        <is>
          <t>FFA spot LNGC ($/day)</t>
        </is>
      </c>
      <c r="C1" s="1" t="inlineStr">
        <is>
          <t>Blended TCE ($/day)</t>
        </is>
      </c>
      <c r="D1" s="1" t="inlineStr">
        <is>
          <t>EPS</t>
        </is>
      </c>
      <c r="E1" s="1" t="inlineStr">
        <is>
          <t>DPS</t>
        </is>
      </c>
      <c r="F1" s="1" t="inlineStr">
        <is>
          <t>Disc. DPS</t>
        </is>
      </c>
    </row>
    <row r="2">
      <c r="A2" t="inlineStr">
        <is>
          <t>Q1</t>
        </is>
      </c>
      <c r="B2" t="n">
        <v>50000</v>
      </c>
      <c r="C2" t="n">
        <v>80557.14285714286</v>
      </c>
      <c r="D2" t="n">
        <v>1.938242328557948</v>
      </c>
      <c r="E2" t="n">
        <v>0.15</v>
      </c>
      <c r="F2" t="n">
        <v>0.1461371099496333</v>
      </c>
    </row>
    <row r="3">
      <c r="A3" t="inlineStr">
        <is>
          <t>Q2</t>
        </is>
      </c>
      <c r="B3" t="n">
        <v>80000</v>
      </c>
      <c r="C3" t="n">
        <v>83557.14285714286</v>
      </c>
      <c r="D3" t="n">
        <v>2.040569233196353</v>
      </c>
      <c r="E3" t="n">
        <v>0.15</v>
      </c>
      <c r="F3" t="n">
        <v>0.1423736993628749</v>
      </c>
    </row>
    <row r="4">
      <c r="A4" t="inlineStr">
        <is>
          <t>Q3</t>
        </is>
      </c>
      <c r="B4" t="n">
        <v>75000</v>
      </c>
      <c r="C4" t="n">
        <v>83057.14285714286</v>
      </c>
      <c r="D4" t="n">
        <v>2.022640160161419</v>
      </c>
      <c r="E4" t="n">
        <v>0.15</v>
      </c>
      <c r="F4" t="n">
        <v>0.1387072063848566</v>
      </c>
    </row>
    <row r="5">
      <c r="A5" t="inlineStr">
        <is>
          <t>Q4</t>
        </is>
      </c>
      <c r="B5" t="n">
        <v>48000</v>
      </c>
      <c r="C5" t="n">
        <v>80357.14285714286</v>
      </c>
      <c r="D5" t="n">
        <v>1.932120206058214</v>
      </c>
      <c r="E5" t="n">
        <v>0.15</v>
      </c>
      <c r="F5" t="n">
        <v>0.1351351351351351</v>
      </c>
    </row>
    <row r="6">
      <c r="A6" t="inlineStr">
        <is>
          <t>Q5</t>
        </is>
      </c>
      <c r="B6" t="n">
        <v>52000</v>
      </c>
      <c r="C6" t="n">
        <v>80757.14285714286</v>
      </c>
      <c r="D6" t="n">
        <v>1.945676334450481</v>
      </c>
      <c r="E6" t="n">
        <v>0.15</v>
      </c>
      <c r="F6" t="n">
        <v>0.1316550540086787</v>
      </c>
    </row>
    <row r="7">
      <c r="A7" t="inlineStr">
        <is>
          <t>Q6</t>
        </is>
      </c>
      <c r="B7" t="n">
        <v>80000</v>
      </c>
      <c r="C7" t="n">
        <v>83557.14285714286</v>
      </c>
      <c r="D7" t="n">
        <v>2.040569233196353</v>
      </c>
      <c r="E7" t="n">
        <v>0.15</v>
      </c>
      <c r="F7" t="n">
        <v>0.1282645940206079</v>
      </c>
    </row>
    <row r="8">
      <c r="A8" t="inlineStr">
        <is>
          <t>Q7</t>
        </is>
      </c>
      <c r="B8" t="n">
        <v>75000</v>
      </c>
      <c r="C8" t="n">
        <v>83057.14285714286</v>
      </c>
      <c r="D8" t="n">
        <v>2.022640160161419</v>
      </c>
      <c r="E8" t="n">
        <v>0.15</v>
      </c>
      <c r="F8" t="n">
        <v>0.1249614471935645</v>
      </c>
    </row>
    <row r="9">
      <c r="A9" t="inlineStr">
        <is>
          <t>Q8</t>
        </is>
      </c>
      <c r="B9" t="n">
        <v>50000</v>
      </c>
      <c r="C9" t="n">
        <v>80557.14285714286</v>
      </c>
      <c r="D9" t="n">
        <v>1.938242328557948</v>
      </c>
      <c r="E9" t="n">
        <v>0.15</v>
      </c>
      <c r="F9" t="n">
        <v>0.1217433649866082</v>
      </c>
    </row>
    <row r="10">
      <c r="A10" t="inlineStr">
        <is>
          <t>Sum disc. DPS</t>
        </is>
      </c>
      <c r="F10" t="n">
        <v>1.068977611041959</v>
      </c>
    </row>
    <row r="11">
      <c r="A11" t="inlineStr">
        <is>
          <t>Terminal value (q9)</t>
        </is>
      </c>
      <c r="E11" t="n">
        <v>42.58701049427211</v>
      </c>
      <c r="F11" t="n">
        <v>33.67444544559495</v>
      </c>
    </row>
    <row r="12">
      <c r="A12" t="inlineStr">
        <is>
          <t>DivStrip implied price</t>
        </is>
      </c>
      <c r="F12" t="n">
        <v>34.74342305663691</v>
      </c>
    </row>
    <row r="13">
      <c r="A13" t="inlineStr">
        <is>
          <t>12M FFA strip (front 4q)</t>
        </is>
      </c>
      <c r="B13" t="n">
        <v>63250</v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F6"/>
  <sheetViews>
    <sheetView workbookViewId="0">
      <selection activeCell="A1" sqref="A1"/>
    </sheetView>
  </sheetViews>
  <sheetFormatPr baseColWidth="8" defaultRowHeight="15"/>
  <cols>
    <col width="14" customWidth="1" min="1" max="1"/>
    <col width="20" customWidth="1" min="2" max="2"/>
    <col width="20" customWidth="1" min="3" max="3"/>
    <col width="20" customWidth="1" min="4" max="4"/>
    <col width="20" customWidth="1" min="5" max="5"/>
    <col width="20" customWidth="1" min="6" max="6"/>
  </cols>
  <sheetData>
    <row r="1">
      <c r="A1" s="1" t="inlineStr">
        <is>
          <t>TCE \ Vessel</t>
        </is>
      </c>
      <c r="B1" s="1" t="inlineStr">
        <is>
          <t>-20%</t>
        </is>
      </c>
      <c r="C1" s="1" t="inlineStr">
        <is>
          <t>-10%</t>
        </is>
      </c>
      <c r="D1" s="1" t="inlineStr">
        <is>
          <t>+0%</t>
        </is>
      </c>
      <c r="E1" s="1" t="inlineStr">
        <is>
          <t>+10%</t>
        </is>
      </c>
      <c r="F1" s="1" t="inlineStr">
        <is>
          <t>+20%</t>
        </is>
      </c>
    </row>
    <row r="2">
      <c r="A2" t="inlineStr">
        <is>
          <t>-30%</t>
        </is>
      </c>
      <c r="B2" t="n">
        <v>14.43450365361041</v>
      </c>
      <c r="C2" t="n">
        <v>23.12950309594259</v>
      </c>
      <c r="D2" t="n">
        <v>31.82450253827476</v>
      </c>
      <c r="E2" t="n">
        <v>40.51950198060694</v>
      </c>
      <c r="F2" t="n">
        <v>49.21450142293912</v>
      </c>
    </row>
    <row r="3">
      <c r="A3" t="inlineStr">
        <is>
          <t>-15%</t>
        </is>
      </c>
      <c r="B3" t="n">
        <v>14.56474091312954</v>
      </c>
      <c r="C3" t="n">
        <v>23.25974035546172</v>
      </c>
      <c r="D3" t="n">
        <v>31.9547397977939</v>
      </c>
      <c r="E3" t="n">
        <v>40.64973924012607</v>
      </c>
      <c r="F3" t="n">
        <v>49.34473868245826</v>
      </c>
    </row>
    <row r="4">
      <c r="A4" t="inlineStr">
        <is>
          <t>+0%</t>
        </is>
      </c>
      <c r="B4" t="n">
        <v>14.69497817264868</v>
      </c>
      <c r="C4" t="n">
        <v>23.38997761498085</v>
      </c>
      <c r="D4" t="n">
        <v>32.08497705731303</v>
      </c>
      <c r="E4" t="n">
        <v>40.7799764996452</v>
      </c>
      <c r="F4" t="n">
        <v>49.47497594197739</v>
      </c>
    </row>
    <row r="5">
      <c r="A5" t="inlineStr">
        <is>
          <t>+15%</t>
        </is>
      </c>
      <c r="B5" t="n">
        <v>14.82521543216781</v>
      </c>
      <c r="C5" t="n">
        <v>23.52021487449998</v>
      </c>
      <c r="D5" t="n">
        <v>32.21521431683216</v>
      </c>
      <c r="E5" t="n">
        <v>40.91021375916434</v>
      </c>
      <c r="F5" t="n">
        <v>49.60521320149651</v>
      </c>
    </row>
    <row r="6">
      <c r="A6" t="inlineStr">
        <is>
          <t>+30%</t>
        </is>
      </c>
      <c r="B6" t="n">
        <v>14.95545269168694</v>
      </c>
      <c r="C6" t="n">
        <v>23.65045213401911</v>
      </c>
      <c r="D6" t="n">
        <v>32.34545157635129</v>
      </c>
      <c r="E6" t="n">
        <v>41.04045101868346</v>
      </c>
      <c r="F6" t="n">
        <v>49.73545046101565</v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B4"/>
  <sheetViews>
    <sheetView workbookViewId="0">
      <selection activeCell="A1" sqref="A1"/>
    </sheetView>
  </sheetViews>
  <sheetFormatPr baseColWidth="8" defaultRowHeight="15"/>
  <cols>
    <col width="17" customWidth="1" min="1" max="1"/>
    <col width="12" customWidth="1" min="2" max="2"/>
  </cols>
  <sheetData>
    <row r="1">
      <c r="A1" s="1" t="inlineStr">
        <is>
          <t>Dividend payout</t>
        </is>
      </c>
      <c r="B1" s="1" t="inlineStr">
        <is>
          <t>Fair value</t>
        </is>
      </c>
    </row>
    <row r="2">
      <c r="A2" t="n">
        <v>0.8</v>
      </c>
      <c r="B2" t="n">
        <v>32.85</v>
      </c>
    </row>
    <row r="3">
      <c r="A3" t="n">
        <v>0.95</v>
      </c>
      <c r="B3" t="n">
        <v>32.99</v>
      </c>
    </row>
    <row r="4">
      <c r="A4" t="n">
        <v>1</v>
      </c>
      <c r="B4" t="n">
        <v>33.04</v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2026-07-15T19:24:14Z</dcterms:created>
  <dcterms:modified xsi:type="dcterms:W3CDTF">2026-07-15T19:24:14Z</dcterms:modified>
</cp:coreProperties>
</file>