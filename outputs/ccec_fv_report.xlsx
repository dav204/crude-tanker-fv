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1" t="inlineStr">
        <is>
          <t>Ticker</t>
        </is>
      </c>
      <c r="B1" t="inlineStr">
        <is>
          <t>CCEC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21.9</v>
      </c>
    </row>
    <row r="5">
      <c r="A5" s="1" t="inlineStr">
        <is>
          <t>Model fair value</t>
        </is>
      </c>
      <c r="B5" t="n">
        <v>22.87548905791384</v>
      </c>
    </row>
    <row r="6">
      <c r="A6" s="1" t="inlineStr">
        <is>
          <t>Analyst target</t>
        </is>
      </c>
      <c r="B6" t="n">
        <v>25.17</v>
      </c>
    </row>
    <row r="7">
      <c r="A7" s="1" t="inlineStr">
        <is>
          <t>NAV / share</t>
        </is>
      </c>
      <c r="B7" t="n">
        <v>28.09730805832722</v>
      </c>
    </row>
    <row r="8">
      <c r="A8" s="1" t="inlineStr">
        <is>
          <t>DivStrip implied price</t>
        </is>
      </c>
      <c r="B8" t="n">
        <v>19.39427639097158</v>
      </c>
    </row>
    <row r="9">
      <c r="A9" s="1" t="inlineStr">
        <is>
          <t>12M TC cycle input LNGC ($/day)</t>
        </is>
      </c>
      <c r="B9" t="n">
        <v>60000</v>
      </c>
    </row>
    <row r="10">
      <c r="A10" s="1" t="inlineStr">
        <is>
          <t>12M FFA strip LNGC ($/day)</t>
        </is>
      </c>
      <c r="B10" t="n">
        <v>63250</v>
      </c>
    </row>
    <row r="11">
      <c r="A11" s="1" t="inlineStr">
        <is>
          <t>Cycle position</t>
        </is>
      </c>
      <c r="B11" t="n">
        <v>0.7737341072279861</v>
      </c>
    </row>
    <row r="12">
      <c r="A12" s="1" t="inlineStr">
        <is>
          <t>Cycle band</t>
        </is>
      </c>
      <c r="B12" t="inlineStr">
        <is>
          <t>below-mid</t>
        </is>
      </c>
    </row>
    <row r="13">
      <c r="A13" s="1" t="inlineStr">
        <is>
          <t>w_nav</t>
        </is>
      </c>
      <c r="B13" t="n">
        <v>0.4</v>
      </c>
    </row>
    <row r="14">
      <c r="A14" s="1" t="inlineStr">
        <is>
          <t>w_earn</t>
        </is>
      </c>
      <c r="B14" t="n">
        <v>0.6</v>
      </c>
    </row>
    <row r="15">
      <c r="A15" s="1" t="inlineStr">
        <is>
          <t>Implied breakeven blended ($/day)</t>
        </is>
      </c>
      <c r="B15" t="n">
        <v>1.174610773689295e-24</v>
      </c>
    </row>
    <row r="16">
      <c r="A16" s="1" t="inlineStr">
        <is>
          <t>Breakeven multiplier (× forward)</t>
        </is>
      </c>
      <c r="B16" t="n">
        <v>1.97215226305253e-29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LNGC</t>
        </is>
      </c>
      <c r="B2" t="n">
        <v>5399.5</v>
      </c>
    </row>
    <row r="3">
      <c r="A3" t="inlineStr">
        <is>
          <t>Fleet value — MGC</t>
        </is>
      </c>
      <c r="B3" t="n">
        <v>585</v>
      </c>
    </row>
    <row r="4">
      <c r="A4" t="inlineStr">
        <is>
          <t>+ Cash &amp; equivalents</t>
        </is>
      </c>
      <c r="B4" t="n">
        <v>546.352</v>
      </c>
    </row>
    <row r="5">
      <c r="A5" t="inlineStr">
        <is>
          <t>+ Working capital (net)</t>
        </is>
      </c>
      <c r="B5" t="n">
        <v>12.852</v>
      </c>
    </row>
    <row r="6">
      <c r="A6" t="inlineStr">
        <is>
          <t>- Total debt</t>
        </is>
      </c>
      <c r="B6" t="n">
        <v>-2602.942</v>
      </c>
    </row>
    <row r="7">
      <c r="A7" t="inlineStr">
        <is>
          <t>- Lease liabilities</t>
        </is>
      </c>
      <c r="B7" t="n">
        <v>-0</v>
      </c>
    </row>
    <row r="8">
      <c r="A8" t="inlineStr">
        <is>
          <t>- Newbuild commitments</t>
        </is>
      </c>
      <c r="B8" t="n">
        <v>-2251.5</v>
      </c>
    </row>
    <row r="9">
      <c r="A9" t="inlineStr">
        <is>
          <t>+ Newbuild advances</t>
        </is>
      </c>
      <c r="B9" t="n">
        <v>0</v>
      </c>
    </row>
    <row r="10">
      <c r="A10">
        <f> NAV total</f>
        <v/>
      </c>
      <c r="B10" t="n">
        <v>1689.262</v>
      </c>
    </row>
    <row r="11">
      <c r="A11" t="inlineStr">
        <is>
          <t>Diluted shares</t>
        </is>
      </c>
      <c r="B11" t="n">
        <v>60121845</v>
      </c>
    </row>
    <row r="12">
      <c r="A12" t="inlineStr">
        <is>
          <t>NAV / share</t>
        </is>
      </c>
      <c r="B12" t="n">
        <v>28.09730805832722</v>
      </c>
    </row>
    <row r="13">
      <c r="A13" t="inlineStr">
        <is>
          <t>NAV / share (ex yard discount)</t>
        </is>
      </c>
      <c r="B13" t="n">
        <v>28.09730805832722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LNGC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50000</v>
      </c>
      <c r="C2" t="n">
        <v>80557.14285714286</v>
      </c>
      <c r="D2" t="n">
        <v>1.938242328557948</v>
      </c>
      <c r="E2" t="n">
        <v>0.15</v>
      </c>
      <c r="F2" t="n">
        <v>0.1461371099496333</v>
      </c>
    </row>
    <row r="3">
      <c r="A3" t="inlineStr">
        <is>
          <t>Q2</t>
        </is>
      </c>
      <c r="B3" t="n">
        <v>80000</v>
      </c>
      <c r="C3" t="n">
        <v>83557.14285714286</v>
      </c>
      <c r="D3" t="n">
        <v>2.040569233196353</v>
      </c>
      <c r="E3" t="n">
        <v>0.15</v>
      </c>
      <c r="F3" t="n">
        <v>0.1423736993628749</v>
      </c>
    </row>
    <row r="4">
      <c r="A4" t="inlineStr">
        <is>
          <t>Q3</t>
        </is>
      </c>
      <c r="B4" t="n">
        <v>75000</v>
      </c>
      <c r="C4" t="n">
        <v>83057.14285714286</v>
      </c>
      <c r="D4" t="n">
        <v>2.022640160161419</v>
      </c>
      <c r="E4" t="n">
        <v>0.15</v>
      </c>
      <c r="F4" t="n">
        <v>0.1387072063848566</v>
      </c>
    </row>
    <row r="5">
      <c r="A5" t="inlineStr">
        <is>
          <t>Q4</t>
        </is>
      </c>
      <c r="B5" t="n">
        <v>48000</v>
      </c>
      <c r="C5" t="n">
        <v>80357.14285714286</v>
      </c>
      <c r="D5" t="n">
        <v>1.932120206058214</v>
      </c>
      <c r="E5" t="n">
        <v>0.15</v>
      </c>
      <c r="F5" t="n">
        <v>0.1351351351351351</v>
      </c>
    </row>
    <row r="6">
      <c r="A6" t="inlineStr">
        <is>
          <t>Q5</t>
        </is>
      </c>
      <c r="B6" t="n">
        <v>52000</v>
      </c>
      <c r="C6" t="n">
        <v>80757.14285714286</v>
      </c>
      <c r="D6" t="n">
        <v>1.945676334450481</v>
      </c>
      <c r="E6" t="n">
        <v>0.15</v>
      </c>
      <c r="F6" t="n">
        <v>0.1316550540086787</v>
      </c>
    </row>
    <row r="7">
      <c r="A7" t="inlineStr">
        <is>
          <t>Q6</t>
        </is>
      </c>
      <c r="B7" t="n">
        <v>80000</v>
      </c>
      <c r="C7" t="n">
        <v>83557.14285714286</v>
      </c>
      <c r="D7" t="n">
        <v>2.040569233196353</v>
      </c>
      <c r="E7" t="n">
        <v>0.15</v>
      </c>
      <c r="F7" t="n">
        <v>0.1282645940206079</v>
      </c>
    </row>
    <row r="8">
      <c r="A8" t="inlineStr">
        <is>
          <t>Q7</t>
        </is>
      </c>
      <c r="B8" t="n">
        <v>75000</v>
      </c>
      <c r="C8" t="n">
        <v>83057.14285714286</v>
      </c>
      <c r="D8" t="n">
        <v>2.022640160161419</v>
      </c>
      <c r="E8" t="n">
        <v>0.15</v>
      </c>
      <c r="F8" t="n">
        <v>0.1249614471935645</v>
      </c>
    </row>
    <row r="9">
      <c r="A9" t="inlineStr">
        <is>
          <t>Q8</t>
        </is>
      </c>
      <c r="B9" t="n">
        <v>50000</v>
      </c>
      <c r="C9" t="n">
        <v>80557.14285714286</v>
      </c>
      <c r="D9" t="n">
        <v>1.938242328557948</v>
      </c>
      <c r="E9" t="n">
        <v>0.15</v>
      </c>
      <c r="F9" t="n">
        <v>0.1217433649866082</v>
      </c>
    </row>
    <row r="10">
      <c r="A10" t="inlineStr">
        <is>
          <t>Sum disc. DPS</t>
        </is>
      </c>
      <c r="F10" t="n">
        <v>1.068977611041959</v>
      </c>
    </row>
    <row r="11">
      <c r="A11" t="inlineStr">
        <is>
          <t>Terminal value (q9)</t>
        </is>
      </c>
      <c r="E11" t="n">
        <v>23.17542816591873</v>
      </c>
      <c r="F11" t="n">
        <v>18.32529877992962</v>
      </c>
    </row>
    <row r="12">
      <c r="A12" t="inlineStr">
        <is>
          <t>DivStrip implied price</t>
        </is>
      </c>
      <c r="F12" t="n">
        <v>19.39427639097158</v>
      </c>
    </row>
    <row r="13">
      <c r="A13" t="inlineStr">
        <is>
          <t>12M FFA strip (front 4q)</t>
        </is>
      </c>
      <c r="B13" t="n">
        <v>63250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9" customWidth="1" min="4" max="4"/>
    <col width="20" customWidth="1" min="5" max="5"/>
    <col width="19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5.934387161004269</v>
      </c>
      <c r="C2" t="n">
        <v>14.40493810945905</v>
      </c>
      <c r="D2" t="n">
        <v>22.87548905791384</v>
      </c>
      <c r="E2" t="n">
        <v>31.34604000636863</v>
      </c>
      <c r="F2" t="n">
        <v>39.81659095482341</v>
      </c>
    </row>
    <row r="3">
      <c r="A3" t="inlineStr">
        <is>
          <t>-15%</t>
        </is>
      </c>
      <c r="B3" t="n">
        <v>5.934387161004269</v>
      </c>
      <c r="C3" t="n">
        <v>14.40493810945905</v>
      </c>
      <c r="D3" t="n">
        <v>22.87548905791384</v>
      </c>
      <c r="E3" t="n">
        <v>31.34604000636863</v>
      </c>
      <c r="F3" t="n">
        <v>39.81659095482341</v>
      </c>
    </row>
    <row r="4">
      <c r="A4" t="inlineStr">
        <is>
          <t>+0%</t>
        </is>
      </c>
      <c r="B4" t="n">
        <v>5.934387161004269</v>
      </c>
      <c r="C4" t="n">
        <v>14.40493810945905</v>
      </c>
      <c r="D4" t="n">
        <v>22.87548905791384</v>
      </c>
      <c r="E4" t="n">
        <v>31.34604000636863</v>
      </c>
      <c r="F4" t="n">
        <v>39.81659095482341</v>
      </c>
    </row>
    <row r="5">
      <c r="A5" t="inlineStr">
        <is>
          <t>+15%</t>
        </is>
      </c>
      <c r="B5" t="n">
        <v>5.934387161004269</v>
      </c>
      <c r="C5" t="n">
        <v>14.40493810945905</v>
      </c>
      <c r="D5" t="n">
        <v>22.87548905791384</v>
      </c>
      <c r="E5" t="n">
        <v>31.34604000636863</v>
      </c>
      <c r="F5" t="n">
        <v>39.81659095482341</v>
      </c>
    </row>
    <row r="6">
      <c r="A6" t="inlineStr">
        <is>
          <t>+30%</t>
        </is>
      </c>
      <c r="B6" t="n">
        <v>5.934387161004269</v>
      </c>
      <c r="C6" t="n">
        <v>14.40493810945905</v>
      </c>
      <c r="D6" t="n">
        <v>22.87548905791384</v>
      </c>
      <c r="E6" t="n">
        <v>31.34604000636863</v>
      </c>
      <c r="F6" t="n">
        <v>39.81659095482341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29.67</v>
      </c>
    </row>
    <row r="3">
      <c r="A3" t="n">
        <v>0.95</v>
      </c>
      <c r="B3" t="n">
        <v>30.94</v>
      </c>
    </row>
    <row r="4">
      <c r="A4" t="n">
        <v>1</v>
      </c>
      <c r="B4" t="n">
        <v>31.36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2026-06-10T20:00:45Z</dcterms:created>
  <dcterms:modified xsi:type="dcterms:W3CDTF">2026-06-10T20:00:45Z</dcterms:modified>
</cp:coreProperties>
</file>