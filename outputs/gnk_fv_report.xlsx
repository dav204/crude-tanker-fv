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GNK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24</v>
      </c>
    </row>
    <row r="5">
      <c r="A5" s="1" t="inlineStr">
        <is>
          <t>Model fair value</t>
        </is>
      </c>
      <c r="B5" t="n">
        <v>25.27585784259344</v>
      </c>
    </row>
    <row r="6">
      <c r="A6" s="1" t="inlineStr">
        <is>
          <t>Analyst target</t>
        </is>
      </c>
      <c r="B6" t="n">
        <v>24.8</v>
      </c>
    </row>
    <row r="7">
      <c r="A7" s="1" t="inlineStr">
        <is>
          <t>NAV / share</t>
        </is>
      </c>
      <c r="B7" t="n">
        <v>26.24495738787133</v>
      </c>
    </row>
    <row r="8">
      <c r="A8" s="1" t="inlineStr">
        <is>
          <t>DivStrip implied price</t>
        </is>
      </c>
      <c r="B8" t="n">
        <v>24.30675829731555</v>
      </c>
    </row>
    <row r="9">
      <c r="A9" s="1" t="inlineStr">
        <is>
          <t>12M TC cycle input Cape ($/day)</t>
        </is>
      </c>
      <c r="B9" t="n">
        <v>27000</v>
      </c>
    </row>
    <row r="10">
      <c r="A10" s="1" t="inlineStr">
        <is>
          <t>12M FFA strip Cape ($/day)</t>
        </is>
      </c>
      <c r="B10" t="n">
        <v>29537.5</v>
      </c>
    </row>
    <row r="11">
      <c r="A11" s="1" t="inlineStr">
        <is>
          <t>Cycle position</t>
        </is>
      </c>
      <c r="B11" t="n">
        <v>1.144107553411272</v>
      </c>
    </row>
    <row r="12">
      <c r="A12" s="1" t="inlineStr">
        <is>
          <t>Cycle band</t>
        </is>
      </c>
      <c r="B12" t="inlineStr">
        <is>
          <t>mid-cycle</t>
        </is>
      </c>
    </row>
    <row r="13">
      <c r="A13" s="1" t="inlineStr">
        <is>
          <t>w_nav</t>
        </is>
      </c>
      <c r="B13" t="n">
        <v>0.5</v>
      </c>
    </row>
    <row r="14">
      <c r="A14" s="1" t="inlineStr">
        <is>
          <t>w_earn</t>
        </is>
      </c>
      <c r="B14" t="n">
        <v>0.5</v>
      </c>
    </row>
    <row r="15">
      <c r="A15" s="1" t="inlineStr">
        <is>
          <t>Implied breakeven blended ($/day)</t>
        </is>
      </c>
      <c r="B15" t="n">
        <v>18314.40686090312</v>
      </c>
    </row>
    <row r="16">
      <c r="A16" s="1" t="inlineStr">
        <is>
          <t>Breakeven multiplier (× forward)</t>
        </is>
      </c>
      <c r="B16" t="n">
        <v>0.7357204180880825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Cape</t>
        </is>
      </c>
      <c r="B2" t="n">
        <v>923.9677068999425</v>
      </c>
    </row>
    <row r="3">
      <c r="A3" t="inlineStr">
        <is>
          <t>Fleet value — Supra-Ultra</t>
        </is>
      </c>
      <c r="B3" t="n">
        <v>505.6279220333513</v>
      </c>
    </row>
    <row r="4">
      <c r="A4" t="inlineStr">
        <is>
          <t>+ Cash &amp; equivalents</t>
        </is>
      </c>
      <c r="B4" t="n">
        <v>54.77</v>
      </c>
    </row>
    <row r="5">
      <c r="A5" t="inlineStr">
        <is>
          <t>+ Working capital (net)</t>
        </is>
      </c>
      <c r="B5" t="n">
        <v>16.821</v>
      </c>
    </row>
    <row r="6">
      <c r="A6" t="inlineStr">
        <is>
          <t>- Total debt</t>
        </is>
      </c>
      <c r="B6" t="n">
        <v>-330</v>
      </c>
    </row>
    <row r="7">
      <c r="A7" t="inlineStr">
        <is>
          <t>- Lease liabilities</t>
        </is>
      </c>
      <c r="B7" t="n">
        <v>-5.616</v>
      </c>
    </row>
    <row r="8">
      <c r="A8" t="inlineStr">
        <is>
          <t>- Newbuild commitments</t>
        </is>
      </c>
      <c r="B8" t="n">
        <v>-0</v>
      </c>
    </row>
    <row r="9">
      <c r="A9" t="inlineStr">
        <is>
          <t>+ Newbuild advances</t>
        </is>
      </c>
      <c r="B9" t="n">
        <v>0</v>
      </c>
    </row>
    <row r="10">
      <c r="A10">
        <f> NAV total</f>
        <v/>
      </c>
      <c r="B10" t="n">
        <v>1165.570628933294</v>
      </c>
    </row>
    <row r="11">
      <c r="A11" t="inlineStr">
        <is>
          <t>Diluted shares</t>
        </is>
      </c>
      <c r="B11" t="n">
        <v>44411222</v>
      </c>
    </row>
    <row r="12">
      <c r="A12" t="inlineStr">
        <is>
          <t>NAV / share</t>
        </is>
      </c>
      <c r="B12" t="n">
        <v>26.24495738787133</v>
      </c>
    </row>
    <row r="13">
      <c r="A13" t="inlineStr">
        <is>
          <t>NAV / share (ex yard discount)</t>
        </is>
      </c>
      <c r="B13" t="n">
        <v>26.24495738787133</v>
      </c>
    </row>
    <row r="14">
      <c r="A14" t="inlineStr">
        <is>
          <t>Yard-discount impact / share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Cape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31200</v>
      </c>
      <c r="C2" t="n">
        <v>31465</v>
      </c>
      <c r="D2" t="n">
        <v>1.198063771471994</v>
      </c>
      <c r="E2" t="n">
        <v>1.198063771471994</v>
      </c>
      <c r="F2" t="n">
        <v>1.167210513988501</v>
      </c>
    </row>
    <row r="3">
      <c r="A3" t="inlineStr">
        <is>
          <t>Q2</t>
        </is>
      </c>
      <c r="B3" t="n">
        <v>31450</v>
      </c>
      <c r="C3" t="n">
        <v>31702.5</v>
      </c>
      <c r="D3" t="n">
        <v>1.170301707471594</v>
      </c>
      <c r="E3" t="n">
        <v>1.170301707471594</v>
      </c>
      <c r="F3" t="n">
        <v>1.110801223089465</v>
      </c>
    </row>
    <row r="4">
      <c r="A4" t="inlineStr">
        <is>
          <t>Q3</t>
        </is>
      </c>
      <c r="B4" t="n">
        <v>28500</v>
      </c>
      <c r="C4" t="n">
        <v>28900</v>
      </c>
      <c r="D4" t="n">
        <v>0.9966365314154156</v>
      </c>
      <c r="E4" t="n">
        <v>0.9966365314154156</v>
      </c>
      <c r="F4" t="n">
        <v>0.9216044603581709</v>
      </c>
    </row>
    <row r="5">
      <c r="A5" t="inlineStr">
        <is>
          <t>Q4</t>
        </is>
      </c>
      <c r="B5" t="n">
        <v>27000</v>
      </c>
      <c r="C5" t="n">
        <v>27475</v>
      </c>
      <c r="D5" t="n">
        <v>0.9276215001469673</v>
      </c>
      <c r="E5" t="n">
        <v>0.9276215001469673</v>
      </c>
      <c r="F5" t="n">
        <v>0.835695045177448</v>
      </c>
    </row>
    <row r="6">
      <c r="A6" t="inlineStr">
        <is>
          <t>Q5</t>
        </is>
      </c>
      <c r="B6" t="n">
        <v>25500</v>
      </c>
      <c r="C6" t="n">
        <v>26050</v>
      </c>
      <c r="D6" t="n">
        <v>0.8634390312430493</v>
      </c>
      <c r="E6" t="n">
        <v>0.8634390312430493</v>
      </c>
      <c r="F6" t="n">
        <v>0.7578407486100324</v>
      </c>
    </row>
    <row r="7">
      <c r="A7" t="inlineStr">
        <is>
          <t>Q6</t>
        </is>
      </c>
      <c r="B7" t="n">
        <v>25000</v>
      </c>
      <c r="C7" t="n">
        <v>25575</v>
      </c>
      <c r="D7" t="n">
        <v>0.8380177396379681</v>
      </c>
      <c r="E7" t="n">
        <v>0.8380177396379681</v>
      </c>
      <c r="F7" t="n">
        <v>0.7165867010448768</v>
      </c>
    </row>
    <row r="8">
      <c r="A8" t="inlineStr">
        <is>
          <t>Q7</t>
        </is>
      </c>
      <c r="B8" t="n">
        <v>24500</v>
      </c>
      <c r="C8" t="n">
        <v>25100</v>
      </c>
      <c r="D8" t="n">
        <v>0.8125964480328868</v>
      </c>
      <c r="E8" t="n">
        <v>0.8125964480328868</v>
      </c>
      <c r="F8" t="n">
        <v>0.6769548542035975</v>
      </c>
    </row>
    <row r="9">
      <c r="A9" t="inlineStr">
        <is>
          <t>Q8</t>
        </is>
      </c>
      <c r="B9" t="n">
        <v>24000</v>
      </c>
      <c r="C9" t="n">
        <v>24625</v>
      </c>
      <c r="D9" t="n">
        <v>0.7895914376100707</v>
      </c>
      <c r="E9" t="n">
        <v>0.7895914376100707</v>
      </c>
      <c r="F9" t="n">
        <v>0.6408501238617568</v>
      </c>
    </row>
    <row r="10">
      <c r="A10" t="inlineStr">
        <is>
          <t>Sum disc. DPS</t>
        </is>
      </c>
      <c r="F10" t="n">
        <v>6.827543670333849</v>
      </c>
    </row>
    <row r="11">
      <c r="A11" t="inlineStr">
        <is>
          <t>Terminal value (q9)</t>
        </is>
      </c>
      <c r="E11" t="n">
        <v>22.10541218721925</v>
      </c>
      <c r="F11" t="n">
        <v>17.4792146269817</v>
      </c>
    </row>
    <row r="12">
      <c r="A12" t="inlineStr">
        <is>
          <t>DivStrip implied price</t>
        </is>
      </c>
      <c r="F12" t="n">
        <v>24.30675829731555</v>
      </c>
    </row>
    <row r="13">
      <c r="A13" t="inlineStr">
        <is>
          <t>12M FFA strip (front 4q)</t>
        </is>
      </c>
      <c r="B13" t="n">
        <v>29537.5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18.39055115937847</v>
      </c>
      <c r="C2" t="n">
        <v>21.10905216577906</v>
      </c>
      <c r="D2" t="n">
        <v>23.82755317217966</v>
      </c>
      <c r="E2" t="n">
        <v>26.54605417858026</v>
      </c>
      <c r="F2" t="n">
        <v>29.26455518498086</v>
      </c>
    </row>
    <row r="3">
      <c r="A3" t="inlineStr">
        <is>
          <t>-15%</t>
        </is>
      </c>
      <c r="B3" t="n">
        <v>19.11470349458536</v>
      </c>
      <c r="C3" t="n">
        <v>21.83320450098595</v>
      </c>
      <c r="D3" t="n">
        <v>24.55170550738655</v>
      </c>
      <c r="E3" t="n">
        <v>27.27020651378715</v>
      </c>
      <c r="F3" t="n">
        <v>29.98870752018775</v>
      </c>
    </row>
    <row r="4">
      <c r="A4" t="inlineStr">
        <is>
          <t>+0%</t>
        </is>
      </c>
      <c r="B4" t="n">
        <v>19.83885582979226</v>
      </c>
      <c r="C4" t="n">
        <v>22.55735683619285</v>
      </c>
      <c r="D4" t="n">
        <v>25.27585784259344</v>
      </c>
      <c r="E4" t="n">
        <v>27.99435884899404</v>
      </c>
      <c r="F4" t="n">
        <v>30.71285985539465</v>
      </c>
    </row>
    <row r="5">
      <c r="A5" t="inlineStr">
        <is>
          <t>+15%</t>
        </is>
      </c>
      <c r="B5" t="n">
        <v>20.56300816499915</v>
      </c>
      <c r="C5" t="n">
        <v>23.28150917139974</v>
      </c>
      <c r="D5" t="n">
        <v>26.00001017780033</v>
      </c>
      <c r="E5" t="n">
        <v>28.71851118420093</v>
      </c>
      <c r="F5" t="n">
        <v>31.43701219060154</v>
      </c>
    </row>
    <row r="6">
      <c r="A6" t="inlineStr">
        <is>
          <t>+30%</t>
        </is>
      </c>
      <c r="B6" t="n">
        <v>21.28716050020604</v>
      </c>
      <c r="C6" t="n">
        <v>24.00566150660663</v>
      </c>
      <c r="D6" t="n">
        <v>26.72416251300723</v>
      </c>
      <c r="E6" t="n">
        <v>29.44266351940783</v>
      </c>
      <c r="F6" t="n">
        <v>32.16116452580843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24.59</v>
      </c>
    </row>
    <row r="3">
      <c r="A3" t="n">
        <v>0.95</v>
      </c>
      <c r="B3" t="n">
        <v>25.11</v>
      </c>
    </row>
    <row r="4">
      <c r="A4" t="n">
        <v>1</v>
      </c>
      <c r="B4" t="n">
        <v>25.28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$388,300/day is 9.7x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2026-06-10T20:17:10Z</dcterms:created>
  <dcterms:modified xsi:type="dcterms:W3CDTF">2026-06-10T20:17:10Z</dcterms:modified>
</cp:coreProperties>
</file>