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FLNG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29.17</v>
      </c>
    </row>
    <row r="5">
      <c r="A5" s="1" t="inlineStr">
        <is>
          <t>Model fair value</t>
        </is>
      </c>
      <c r="B5" t="n">
        <v>28.16411959022745</v>
      </c>
    </row>
    <row r="6">
      <c r="A6" s="1" t="inlineStr">
        <is>
          <t>Analyst target</t>
        </is>
      </c>
      <c r="B6" t="n">
        <v>25</v>
      </c>
    </row>
    <row r="7">
      <c r="A7" s="1" t="inlineStr">
        <is>
          <t>NAV / share</t>
        </is>
      </c>
      <c r="B7" t="n">
        <v>28.45341827839103</v>
      </c>
    </row>
    <row r="8">
      <c r="A8" s="1" t="inlineStr">
        <is>
          <t>DivStrip implied price</t>
        </is>
      </c>
      <c r="B8" t="n">
        <v>27.97125379811839</v>
      </c>
    </row>
    <row r="9">
      <c r="A9" s="1" t="inlineStr">
        <is>
          <t>12M TC cycle input LNGC ($/day)</t>
        </is>
      </c>
      <c r="B9" t="n">
        <v>60000</v>
      </c>
    </row>
    <row r="10">
      <c r="A10" s="1" t="inlineStr">
        <is>
          <t>12M FFA strip LNGC ($/day)</t>
        </is>
      </c>
      <c r="B10" t="n">
        <v>63250</v>
      </c>
    </row>
    <row r="11">
      <c r="A11" s="1" t="inlineStr">
        <is>
          <t>Cycle position</t>
        </is>
      </c>
      <c r="B11" t="n">
        <v>0.7058823529411765</v>
      </c>
    </row>
    <row r="12">
      <c r="A12" s="1" t="inlineStr">
        <is>
          <t>Cycle band</t>
        </is>
      </c>
      <c r="B12" t="inlineStr">
        <is>
          <t>below-mid</t>
        </is>
      </c>
    </row>
    <row r="13">
      <c r="A13" s="1" t="inlineStr">
        <is>
          <t>w_nav</t>
        </is>
      </c>
      <c r="B13" t="n">
        <v>0.4</v>
      </c>
    </row>
    <row r="14">
      <c r="A14" s="1" t="inlineStr">
        <is>
          <t>w_earn</t>
        </is>
      </c>
      <c r="B14" t="n">
        <v>0.6</v>
      </c>
    </row>
    <row r="15">
      <c r="A15" s="1" t="inlineStr">
        <is>
          <t>Implied breakeven blended ($/day)</t>
        </is>
      </c>
      <c r="B15" t="n">
        <v>117530.2702213225</v>
      </c>
    </row>
    <row r="16">
      <c r="A16" s="1" t="inlineStr">
        <is>
          <t>Breakeven multiplier (× forward)</t>
        </is>
      </c>
      <c r="B16" t="n">
        <v>1.858186090455692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LNGC</t>
        </is>
      </c>
      <c r="B2" t="n">
        <v>2915</v>
      </c>
    </row>
    <row r="3">
      <c r="A3" t="inlineStr">
        <is>
          <t>+ Cash &amp; equivalents</t>
        </is>
      </c>
      <c r="B3" t="n">
        <v>389.068</v>
      </c>
    </row>
    <row r="4">
      <c r="A4" t="inlineStr">
        <is>
          <t>+ Working capital (net)</t>
        </is>
      </c>
      <c r="B4" t="n">
        <v>56</v>
      </c>
    </row>
    <row r="5">
      <c r="A5" t="inlineStr">
        <is>
          <t>- Total debt</t>
        </is>
      </c>
      <c r="B5" t="n">
        <v>-1820.955</v>
      </c>
    </row>
    <row r="6">
      <c r="A6" t="inlineStr">
        <is>
          <t>- Lease liabilities</t>
        </is>
      </c>
      <c r="B6" t="n">
        <v>-0</v>
      </c>
    </row>
    <row r="7">
      <c r="A7" t="inlineStr">
        <is>
          <t>- Newbuild commitments</t>
        </is>
      </c>
      <c r="B7" t="n">
        <v>-0</v>
      </c>
    </row>
    <row r="8">
      <c r="A8" t="inlineStr">
        <is>
          <t>+ Newbuild advances</t>
        </is>
      </c>
      <c r="B8" t="n">
        <v>0</v>
      </c>
    </row>
    <row r="9">
      <c r="A9">
        <f> NAV total</f>
        <v/>
      </c>
      <c r="B9" t="n">
        <v>1539.113</v>
      </c>
    </row>
    <row r="10">
      <c r="A10" t="inlineStr">
        <is>
          <t>Diluted shares</t>
        </is>
      </c>
      <c r="B10" t="n">
        <v>54092376</v>
      </c>
    </row>
    <row r="11">
      <c r="A11" t="inlineStr">
        <is>
          <t>NAV / share</t>
        </is>
      </c>
      <c r="B11" t="n">
        <v>28.45341827839103</v>
      </c>
    </row>
    <row r="12">
      <c r="A12" t="inlineStr">
        <is>
          <t>NAV / share (ex yard discount)</t>
        </is>
      </c>
      <c r="B12" t="n">
        <v>28.45341827839103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LNGC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50000</v>
      </c>
      <c r="C2" t="n">
        <v>76873</v>
      </c>
      <c r="D2" t="n">
        <v>0.8708492697473671</v>
      </c>
      <c r="E2" t="n">
        <v>0.75</v>
      </c>
      <c r="F2" t="n">
        <v>0.7306855497481667</v>
      </c>
    </row>
    <row r="3">
      <c r="A3" t="inlineStr">
        <is>
          <t>Q2</t>
        </is>
      </c>
      <c r="B3" t="n">
        <v>80000</v>
      </c>
      <c r="C3" t="n">
        <v>83773</v>
      </c>
      <c r="D3" t="n">
        <v>1.01617463038599</v>
      </c>
      <c r="E3" t="n">
        <v>0.75</v>
      </c>
      <c r="F3" t="n">
        <v>0.7118684968143743</v>
      </c>
    </row>
    <row r="4">
      <c r="A4" t="inlineStr">
        <is>
          <t>Q3</t>
        </is>
      </c>
      <c r="B4" t="n">
        <v>75000</v>
      </c>
      <c r="C4" t="n">
        <v>82623</v>
      </c>
      <c r="D4" t="n">
        <v>0.9919537369462197</v>
      </c>
      <c r="E4" t="n">
        <v>0.75</v>
      </c>
      <c r="F4" t="n">
        <v>0.6935360319242828</v>
      </c>
    </row>
    <row r="5">
      <c r="A5" t="inlineStr">
        <is>
          <t>Q4</t>
        </is>
      </c>
      <c r="B5" t="n">
        <v>48000</v>
      </c>
      <c r="C5" t="n">
        <v>76413</v>
      </c>
      <c r="D5" t="n">
        <v>0.8611609123714589</v>
      </c>
      <c r="E5" t="n">
        <v>0.75</v>
      </c>
      <c r="F5" t="n">
        <v>0.6756756756756757</v>
      </c>
    </row>
    <row r="6">
      <c r="A6" t="inlineStr">
        <is>
          <t>Q5</t>
        </is>
      </c>
      <c r="B6" t="n">
        <v>52000</v>
      </c>
      <c r="C6" t="n">
        <v>77333</v>
      </c>
      <c r="D6" t="n">
        <v>0.8805376271232752</v>
      </c>
      <c r="E6" t="n">
        <v>0.75</v>
      </c>
      <c r="F6" t="n">
        <v>0.6582752700433934</v>
      </c>
    </row>
    <row r="7">
      <c r="A7" t="inlineStr">
        <is>
          <t>Q6</t>
        </is>
      </c>
      <c r="B7" t="n">
        <v>80000</v>
      </c>
      <c r="C7" t="n">
        <v>83773</v>
      </c>
      <c r="D7" t="n">
        <v>1.01617463038599</v>
      </c>
      <c r="E7" t="n">
        <v>0.75</v>
      </c>
      <c r="F7" t="n">
        <v>0.6413229701030397</v>
      </c>
    </row>
    <row r="8">
      <c r="A8" t="inlineStr">
        <is>
          <t>Q7</t>
        </is>
      </c>
      <c r="B8" t="n">
        <v>75000</v>
      </c>
      <c r="C8" t="n">
        <v>82623</v>
      </c>
      <c r="D8" t="n">
        <v>0.9919537369462197</v>
      </c>
      <c r="E8" t="n">
        <v>0.75</v>
      </c>
      <c r="F8" t="n">
        <v>0.6248072359678223</v>
      </c>
    </row>
    <row r="9">
      <c r="A9" t="inlineStr">
        <is>
          <t>Q8</t>
        </is>
      </c>
      <c r="B9" t="n">
        <v>50000</v>
      </c>
      <c r="C9" t="n">
        <v>76873</v>
      </c>
      <c r="D9" t="n">
        <v>0.8708492697473671</v>
      </c>
      <c r="E9" t="n">
        <v>0.75</v>
      </c>
      <c r="F9" t="n">
        <v>0.608716824933041</v>
      </c>
    </row>
    <row r="10">
      <c r="A10" t="inlineStr">
        <is>
          <t>Sum disc. DPS</t>
        </is>
      </c>
      <c r="F10" t="n">
        <v>5.344888055209796</v>
      </c>
    </row>
    <row r="11">
      <c r="A11" t="inlineStr">
        <is>
          <t>Terminal value (q9)</t>
        </is>
      </c>
      <c r="E11" t="n">
        <v>28.61485208115096</v>
      </c>
      <c r="F11" t="n">
        <v>22.6263657429086</v>
      </c>
    </row>
    <row r="12">
      <c r="A12" t="inlineStr">
        <is>
          <t>DivStrip implied price</t>
        </is>
      </c>
      <c r="F12" t="n">
        <v>27.97125379811839</v>
      </c>
    </row>
    <row r="13">
      <c r="A13" t="inlineStr">
        <is>
          <t>12M FFA strip (front 4q)</t>
        </is>
      </c>
      <c r="B13" t="n">
        <v>63250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18.51495692976764</v>
      </c>
      <c r="C2" t="n">
        <v>23.1637231738013</v>
      </c>
      <c r="D2" t="n">
        <v>27.81248941783496</v>
      </c>
      <c r="E2" t="n">
        <v>32.46125566186863</v>
      </c>
      <c r="F2" t="n">
        <v>37.11002190590228</v>
      </c>
    </row>
    <row r="3">
      <c r="A3" t="inlineStr">
        <is>
          <t>-15%</t>
        </is>
      </c>
      <c r="B3" t="n">
        <v>18.69077201596388</v>
      </c>
      <c r="C3" t="n">
        <v>23.33953825999754</v>
      </c>
      <c r="D3" t="n">
        <v>27.98830450403121</v>
      </c>
      <c r="E3" t="n">
        <v>32.63707074806487</v>
      </c>
      <c r="F3" t="n">
        <v>37.28583699209852</v>
      </c>
    </row>
    <row r="4">
      <c r="A4" t="inlineStr">
        <is>
          <t>+0%</t>
        </is>
      </c>
      <c r="B4" t="n">
        <v>18.86658710216012</v>
      </c>
      <c r="C4" t="n">
        <v>23.51535334619378</v>
      </c>
      <c r="D4" t="n">
        <v>28.16411959022745</v>
      </c>
      <c r="E4" t="n">
        <v>32.81288583426111</v>
      </c>
      <c r="F4" t="n">
        <v>37.46165207829476</v>
      </c>
    </row>
    <row r="5">
      <c r="A5" t="inlineStr">
        <is>
          <t>+15%</t>
        </is>
      </c>
      <c r="B5" t="n">
        <v>19.04240218835636</v>
      </c>
      <c r="C5" t="n">
        <v>23.69116843239002</v>
      </c>
      <c r="D5" t="n">
        <v>28.33993467642369</v>
      </c>
      <c r="E5" t="n">
        <v>32.98870092045735</v>
      </c>
      <c r="F5" t="n">
        <v>37.63746716449101</v>
      </c>
    </row>
    <row r="6">
      <c r="A6" t="inlineStr">
        <is>
          <t>+30%</t>
        </is>
      </c>
      <c r="B6" t="n">
        <v>19.2182172745526</v>
      </c>
      <c r="C6" t="n">
        <v>23.86698351858627</v>
      </c>
      <c r="D6" t="n">
        <v>28.51574976261993</v>
      </c>
      <c r="E6" t="n">
        <v>33.16451600665359</v>
      </c>
      <c r="F6" t="n">
        <v>37.81328225068724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28.52</v>
      </c>
    </row>
    <row r="3">
      <c r="A3" t="n">
        <v>0.95</v>
      </c>
      <c r="B3" t="n">
        <v>28.59</v>
      </c>
    </row>
    <row r="4">
      <c r="A4" t="n">
        <v>1</v>
      </c>
      <c r="B4" t="n">
        <v>28.61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2026-07-10T20:29:26Z</dcterms:created>
  <dcterms:modified xsi:type="dcterms:W3CDTF">2026-07-10T20:29:26Z</dcterms:modified>
</cp:coreProperties>
</file>