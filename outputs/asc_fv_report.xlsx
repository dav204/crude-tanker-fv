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ASC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16.89</v>
      </c>
    </row>
    <row r="5">
      <c r="A5" s="1" t="inlineStr">
        <is>
          <t>Model fair value</t>
        </is>
      </c>
      <c r="B5" t="n">
        <v>14.88016484227437</v>
      </c>
    </row>
    <row r="6">
      <c r="A6" s="1" t="inlineStr">
        <is>
          <t>Analyst target</t>
        </is>
      </c>
      <c r="B6" t="n">
        <v>17.95</v>
      </c>
    </row>
    <row r="7">
      <c r="A7" s="1" t="inlineStr">
        <is>
          <t>NAV / share</t>
        </is>
      </c>
      <c r="B7" t="n">
        <v>15.93456464640785</v>
      </c>
    </row>
    <row r="8">
      <c r="A8" s="1" t="inlineStr">
        <is>
          <t>DivStrip implied price</t>
        </is>
      </c>
      <c r="B8" t="n">
        <v>13.29856513607414</v>
      </c>
    </row>
    <row r="9">
      <c r="A9" s="1" t="inlineStr">
        <is>
          <t>12M TC cycle input MR ($/day)</t>
        </is>
      </c>
      <c r="B9" t="n">
        <v>22000</v>
      </c>
    </row>
    <row r="10">
      <c r="A10" s="1" t="inlineStr">
        <is>
          <t>12M FFA strip MR ($/day)</t>
        </is>
      </c>
      <c r="B10" t="n">
        <v>24750</v>
      </c>
    </row>
    <row r="11">
      <c r="A11" s="1" t="inlineStr">
        <is>
          <t>Cycle position</t>
        </is>
      </c>
      <c r="B11" t="n">
        <v>1.375</v>
      </c>
    </row>
    <row r="12">
      <c r="A12" s="1" t="inlineStr">
        <is>
          <t>Cycle band</t>
        </is>
      </c>
      <c r="B12" t="inlineStr">
        <is>
          <t>elevated</t>
        </is>
      </c>
    </row>
    <row r="13">
      <c r="A13" s="1" t="inlineStr">
        <is>
          <t>w_nav</t>
        </is>
      </c>
      <c r="B13" t="n">
        <v>0.6</v>
      </c>
    </row>
    <row r="14">
      <c r="A14" s="1" t="inlineStr">
        <is>
          <t>w_earn</t>
        </is>
      </c>
      <c r="B14" t="n">
        <v>0.4</v>
      </c>
    </row>
    <row r="15">
      <c r="A15" s="1" t="inlineStr">
        <is>
          <t>Implied breakeven blended ($/day)</t>
        </is>
      </c>
      <c r="B15" t="n">
        <v>49486.13291402483</v>
      </c>
    </row>
    <row r="16">
      <c r="A16" s="1" t="inlineStr">
        <is>
          <t>Breakeven multiplier (× forward)</t>
        </is>
      </c>
      <c r="B16" t="n">
        <v>1.999439713697973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MR</t>
        </is>
      </c>
      <c r="B2" t="n">
        <v>617.3903607047478</v>
      </c>
    </row>
    <row r="3">
      <c r="A3" t="inlineStr">
        <is>
          <t>Fleet value — Handysize</t>
        </is>
      </c>
      <c r="B3" t="n">
        <v>49.13333333333333</v>
      </c>
    </row>
    <row r="4">
      <c r="A4" t="inlineStr">
        <is>
          <t>+ Cash &amp; equivalents</t>
        </is>
      </c>
      <c r="B4" t="n">
        <v>47.2</v>
      </c>
    </row>
    <row r="5">
      <c r="A5" t="inlineStr">
        <is>
          <t>+ Working capital (net)</t>
        </is>
      </c>
      <c r="B5" t="n">
        <v>131</v>
      </c>
    </row>
    <row r="6">
      <c r="A6" t="inlineStr">
        <is>
          <t>- Total debt</t>
        </is>
      </c>
      <c r="B6" t="n">
        <v>-103.4</v>
      </c>
    </row>
    <row r="7">
      <c r="A7" t="inlineStr">
        <is>
          <t>- Lease liabilities</t>
        </is>
      </c>
      <c r="B7" t="n">
        <v>-1.8</v>
      </c>
    </row>
    <row r="8">
      <c r="A8" t="inlineStr">
        <is>
          <t>- Newbuild commitments</t>
        </is>
      </c>
      <c r="B8" t="n">
        <v>-88.8</v>
      </c>
    </row>
    <row r="9">
      <c r="A9" t="inlineStr">
        <is>
          <t>+ Newbuild advances</t>
        </is>
      </c>
      <c r="B9" t="n">
        <v>1</v>
      </c>
    </row>
    <row r="10">
      <c r="A10">
        <f> NAV total</f>
        <v/>
      </c>
      <c r="B10" t="n">
        <v>651.7236940380811</v>
      </c>
    </row>
    <row r="11">
      <c r="A11" t="inlineStr">
        <is>
          <t>Diluted shares</t>
        </is>
      </c>
      <c r="B11" t="n">
        <v>40900000</v>
      </c>
    </row>
    <row r="12">
      <c r="A12" t="inlineStr">
        <is>
          <t>NAV / share</t>
        </is>
      </c>
      <c r="B12" t="n">
        <v>15.93456464640785</v>
      </c>
    </row>
    <row r="13">
      <c r="A13" t="inlineStr">
        <is>
          <t>NAV / share (ex yard discount)</t>
        </is>
      </c>
      <c r="B13" t="n">
        <v>15.93456464640785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MR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22000</v>
      </c>
      <c r="C2" t="n">
        <v>22000</v>
      </c>
      <c r="D2" t="n">
        <v>0.4651362420843521</v>
      </c>
      <c r="E2" t="n">
        <v>0.3102458734702628</v>
      </c>
      <c r="F2" t="n">
        <v>0.3022562354849589</v>
      </c>
    </row>
    <row r="3">
      <c r="A3" t="inlineStr">
        <is>
          <t>Q2</t>
        </is>
      </c>
      <c r="B3" t="n">
        <v>30000</v>
      </c>
      <c r="C3" t="n">
        <v>30000</v>
      </c>
      <c r="D3" t="n">
        <v>0.8313545746026895</v>
      </c>
      <c r="E3" t="n">
        <v>0.5545135012599939</v>
      </c>
      <c r="F3" t="n">
        <v>0.5263209234736367</v>
      </c>
    </row>
    <row r="4">
      <c r="A4" t="inlineStr">
        <is>
          <t>Q3</t>
        </is>
      </c>
      <c r="B4" t="n">
        <v>28000</v>
      </c>
      <c r="C4" t="n">
        <v>28000</v>
      </c>
      <c r="D4" t="n">
        <v>0.7397999914731052</v>
      </c>
      <c r="E4" t="n">
        <v>0.4934465943125612</v>
      </c>
      <c r="F4" t="n">
        <v>0.4562973239814467</v>
      </c>
    </row>
    <row r="5">
      <c r="A5" t="inlineStr">
        <is>
          <t>Q4</t>
        </is>
      </c>
      <c r="B5" t="n">
        <v>19000</v>
      </c>
      <c r="C5" t="n">
        <v>19000</v>
      </c>
      <c r="D5" t="n">
        <v>0.3278043673899756</v>
      </c>
      <c r="E5" t="n">
        <v>0.2186455130491137</v>
      </c>
      <c r="F5" t="n">
        <v>0.1969779396838862</v>
      </c>
    </row>
    <row r="6">
      <c r="A6" t="inlineStr">
        <is>
          <t>Q5</t>
        </is>
      </c>
      <c r="B6" t="n">
        <v>18000</v>
      </c>
      <c r="C6" t="n">
        <v>18000</v>
      </c>
      <c r="D6" t="n">
        <v>0.2820270758251833</v>
      </c>
      <c r="E6" t="n">
        <v>0.1881120595753973</v>
      </c>
      <c r="F6" t="n">
        <v>0.1651060224205514</v>
      </c>
    </row>
    <row r="7">
      <c r="A7" t="inlineStr">
        <is>
          <t>Q6</t>
        </is>
      </c>
      <c r="B7" t="n">
        <v>23000</v>
      </c>
      <c r="C7" t="n">
        <v>23000</v>
      </c>
      <c r="D7" t="n">
        <v>0.5109135336491443</v>
      </c>
      <c r="E7" t="n">
        <v>0.3407793269439792</v>
      </c>
      <c r="F7" t="n">
        <v>0.2913994801405701</v>
      </c>
    </row>
    <row r="8">
      <c r="A8" t="inlineStr">
        <is>
          <t>Q7</t>
        </is>
      </c>
      <c r="B8" t="n">
        <v>26000</v>
      </c>
      <c r="C8" t="n">
        <v>26000</v>
      </c>
      <c r="D8" t="n">
        <v>0.6482454083435208</v>
      </c>
      <c r="E8" t="n">
        <v>0.4323796873651284</v>
      </c>
      <c r="F8" t="n">
        <v>0.3602052764683161</v>
      </c>
    </row>
    <row r="9">
      <c r="A9" t="inlineStr">
        <is>
          <t>Q8</t>
        </is>
      </c>
      <c r="B9" t="n">
        <v>18000</v>
      </c>
      <c r="C9" t="n">
        <v>18000</v>
      </c>
      <c r="D9" t="n">
        <v>0.2820270758251833</v>
      </c>
      <c r="E9" t="n">
        <v>0.1881120595753973</v>
      </c>
      <c r="F9" t="n">
        <v>0.1526759675151345</v>
      </c>
    </row>
    <row r="10">
      <c r="A10" t="inlineStr">
        <is>
          <t>Sum disc. DPS</t>
        </is>
      </c>
      <c r="F10" t="n">
        <v>2.451239169168501</v>
      </c>
    </row>
    <row r="11">
      <c r="A11" t="inlineStr">
        <is>
          <t>Terminal value (q9)</t>
        </is>
      </c>
      <c r="E11" t="n">
        <v>13.71827148671962</v>
      </c>
      <c r="F11" t="n">
        <v>10.84732596690564</v>
      </c>
    </row>
    <row r="12">
      <c r="A12" t="inlineStr">
        <is>
          <t>DivStrip implied price</t>
        </is>
      </c>
      <c r="F12" t="n">
        <v>13.29856513607414</v>
      </c>
    </row>
    <row r="13">
      <c r="A13" t="inlineStr">
        <is>
          <t>12M FFA strip (front 4q)</t>
        </is>
      </c>
      <c r="B13" t="n">
        <v>24750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11.43062915189419</v>
      </c>
      <c r="C2" t="n">
        <v>12.85375271626681</v>
      </c>
      <c r="D2" t="n">
        <v>14.27687628063942</v>
      </c>
      <c r="E2" t="n">
        <v>15.69999984501203</v>
      </c>
      <c r="F2" t="n">
        <v>17.12312340938465</v>
      </c>
    </row>
    <row r="3">
      <c r="A3" t="inlineStr">
        <is>
          <t>-15%</t>
        </is>
      </c>
      <c r="B3" t="n">
        <v>11.73227343271166</v>
      </c>
      <c r="C3" t="n">
        <v>13.15539699708428</v>
      </c>
      <c r="D3" t="n">
        <v>14.57852056145689</v>
      </c>
      <c r="E3" t="n">
        <v>16.0016441258295</v>
      </c>
      <c r="F3" t="n">
        <v>17.42476769020212</v>
      </c>
    </row>
    <row r="4">
      <c r="A4" t="inlineStr">
        <is>
          <t>+0%</t>
        </is>
      </c>
      <c r="B4" t="n">
        <v>12.03391771352913</v>
      </c>
      <c r="C4" t="n">
        <v>13.45704127790175</v>
      </c>
      <c r="D4" t="n">
        <v>14.88016484227437</v>
      </c>
      <c r="E4" t="n">
        <v>16.30328840664697</v>
      </c>
      <c r="F4" t="n">
        <v>17.72641197101959</v>
      </c>
    </row>
    <row r="5">
      <c r="A5" t="inlineStr">
        <is>
          <t>+15%</t>
        </is>
      </c>
      <c r="B5" t="n">
        <v>12.3355619943466</v>
      </c>
      <c r="C5" t="n">
        <v>13.75868555871922</v>
      </c>
      <c r="D5" t="n">
        <v>15.18180912309184</v>
      </c>
      <c r="E5" t="n">
        <v>16.60493268746445</v>
      </c>
      <c r="F5" t="n">
        <v>18.02805625183706</v>
      </c>
    </row>
    <row r="6">
      <c r="A6" t="inlineStr">
        <is>
          <t>+30%</t>
        </is>
      </c>
      <c r="B6" t="n">
        <v>12.63720627516408</v>
      </c>
      <c r="C6" t="n">
        <v>14.06032983953669</v>
      </c>
      <c r="D6" t="n">
        <v>15.48345340390931</v>
      </c>
      <c r="E6" t="n">
        <v>16.90657696828192</v>
      </c>
      <c r="F6" t="n">
        <v>18.32970053265453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15.08</v>
      </c>
    </row>
    <row r="3">
      <c r="A3" t="n">
        <v>0.95</v>
      </c>
      <c r="B3" t="n">
        <v>15.3</v>
      </c>
    </row>
    <row r="4">
      <c r="A4" t="n">
        <v>1</v>
      </c>
      <c r="B4" t="n">
        <v>15.37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2026-06-11T23:54:44Z</dcterms:created>
  <dcterms:modified xsi:type="dcterms:W3CDTF">2026-06-11T23:54:44Z</dcterms:modified>
</cp:coreProperties>
</file>