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CAPT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13.5056</v>
      </c>
    </row>
    <row r="5">
      <c r="A5" s="1" t="inlineStr">
        <is>
          <t>Model fair value</t>
        </is>
      </c>
      <c r="B5" t="n">
        <v>16.02854652071104</v>
      </c>
    </row>
    <row r="6">
      <c r="A6" s="1" t="inlineStr">
        <is>
          <t>Analyst target</t>
        </is>
      </c>
      <c r="B6" t="n">
        <v>18.9</v>
      </c>
    </row>
    <row r="7">
      <c r="A7" s="1" t="inlineStr">
        <is>
          <t>NAV / share</t>
        </is>
      </c>
      <c r="B7" t="n">
        <v>15.48793888788854</v>
      </c>
    </row>
    <row r="8">
      <c r="A8" s="1" t="inlineStr">
        <is>
          <t>DivStrip implied price</t>
        </is>
      </c>
      <c r="B8" t="n">
        <v>17.28996433063022</v>
      </c>
    </row>
    <row r="9">
      <c r="A9" s="1" t="inlineStr">
        <is>
          <t>12M TC cycle input VLCC ($/day)</t>
        </is>
      </c>
      <c r="B9" t="n">
        <v>111500</v>
      </c>
    </row>
    <row r="10">
      <c r="A10" s="1" t="inlineStr">
        <is>
          <t>12M FFA strip VLCC ($/day)</t>
        </is>
      </c>
      <c r="B10" t="n">
        <v>155000</v>
      </c>
    </row>
    <row r="11">
      <c r="A11" s="1" t="inlineStr">
        <is>
          <t>Cycle position</t>
        </is>
      </c>
      <c r="B11" t="n">
        <v>2.456989338164862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0</v>
      </c>
    </row>
    <row r="16">
      <c r="A16" s="1" t="inlineStr">
        <is>
          <t>Breakeven multiplier (× forward)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VLCC</t>
        </is>
      </c>
      <c r="B2" t="n">
        <v>1922.375441425454</v>
      </c>
    </row>
    <row r="3">
      <c r="A3" t="inlineStr">
        <is>
          <t>Fleet value — Suezmax</t>
        </is>
      </c>
      <c r="B3" t="n">
        <v>1148.965135975897</v>
      </c>
    </row>
    <row r="4">
      <c r="A4" t="inlineStr">
        <is>
          <t>Fleet value — Aframax</t>
        </is>
      </c>
      <c r="B4" t="n">
        <v>294.8018049169445</v>
      </c>
    </row>
    <row r="5">
      <c r="A5" t="inlineStr">
        <is>
          <t>Fleet value — LR2</t>
        </is>
      </c>
      <c r="B5" t="n">
        <v>383.5950469924025</v>
      </c>
    </row>
    <row r="6">
      <c r="A6" t="inlineStr">
        <is>
          <t>+ Cash &amp; equivalents</t>
        </is>
      </c>
      <c r="B6" t="n">
        <v>405</v>
      </c>
    </row>
    <row r="7">
      <c r="A7" t="inlineStr">
        <is>
          <t>+ Working capital (net)</t>
        </is>
      </c>
      <c r="B7" t="n">
        <v>13</v>
      </c>
    </row>
    <row r="8">
      <c r="A8" t="inlineStr">
        <is>
          <t>- Total debt</t>
        </is>
      </c>
      <c r="B8" t="n">
        <v>-217</v>
      </c>
    </row>
    <row r="9">
      <c r="A9" t="inlineStr">
        <is>
          <t>- Lease liabilities</t>
        </is>
      </c>
      <c r="B9" t="n">
        <v>-0</v>
      </c>
    </row>
    <row r="10">
      <c r="A10" t="inlineStr">
        <is>
          <t>- Newbuild commitments</t>
        </is>
      </c>
      <c r="B10" t="n">
        <v>-1880</v>
      </c>
    </row>
    <row r="11">
      <c r="A11" t="inlineStr">
        <is>
          <t>+ Newbuild advances</t>
        </is>
      </c>
      <c r="B11" t="n">
        <v>0</v>
      </c>
    </row>
    <row r="12">
      <c r="A12">
        <f> NAV total</f>
        <v/>
      </c>
      <c r="B12" t="n">
        <v>2070.737429310698</v>
      </c>
    </row>
    <row r="13">
      <c r="A13" t="inlineStr">
        <is>
          <t>Diluted shares</t>
        </is>
      </c>
      <c r="B13" t="n">
        <v>133700000</v>
      </c>
    </row>
    <row r="14">
      <c r="A14" t="inlineStr">
        <is>
          <t>NAV / share</t>
        </is>
      </c>
      <c r="B14" t="n">
        <v>15.48793888788854</v>
      </c>
    </row>
    <row r="15">
      <c r="A15" t="inlineStr">
        <is>
          <t>NAV / share (ex yard discount)</t>
        </is>
      </c>
      <c r="B15" t="n">
        <v>15.48793888788854</v>
      </c>
    </row>
    <row r="16">
      <c r="A16" t="inlineStr">
        <is>
          <t>Yard-discount impact / share</t>
        </is>
      </c>
      <c r="B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20" customWidth="1" min="4" max="4"/>
    <col width="21" customWidth="1" min="5" max="5"/>
    <col width="21" customWidth="1" min="6" max="6"/>
  </cols>
  <sheetData>
    <row r="1">
      <c r="A1" s="1" t="inlineStr">
        <is>
          <t>Quarter</t>
        </is>
      </c>
      <c r="B1" s="1" t="inlineStr">
        <is>
          <t>FFA spot VLCC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147500</v>
      </c>
      <c r="C2" t="n">
        <v>147500</v>
      </c>
      <c r="D2" t="n">
        <v>0.5467245120605834</v>
      </c>
      <c r="E2" t="n">
        <v>0.2460260304272625</v>
      </c>
      <c r="F2" t="n">
        <v>0.2396902203934713</v>
      </c>
    </row>
    <row r="3">
      <c r="A3" t="inlineStr">
        <is>
          <t>Q2</t>
        </is>
      </c>
      <c r="B3" t="n">
        <v>183500</v>
      </c>
      <c r="C3" t="n">
        <v>183500</v>
      </c>
      <c r="D3" t="n">
        <v>1.043427199981301</v>
      </c>
      <c r="E3" t="n">
        <v>0.4695422399915856</v>
      </c>
      <c r="F3" t="n">
        <v>0.4456697714315523</v>
      </c>
    </row>
    <row r="4">
      <c r="A4" t="inlineStr">
        <is>
          <t>Q3</t>
        </is>
      </c>
      <c r="B4" t="n">
        <v>165500</v>
      </c>
      <c r="C4" t="n">
        <v>165500</v>
      </c>
      <c r="D4" t="n">
        <v>1.108697410433807</v>
      </c>
      <c r="E4" t="n">
        <v>0.4989138346952132</v>
      </c>
      <c r="F4" t="n">
        <v>0.4613529615821943</v>
      </c>
    </row>
    <row r="5">
      <c r="A5" t="inlineStr">
        <is>
          <t>Q4</t>
        </is>
      </c>
      <c r="B5" t="n">
        <v>123500</v>
      </c>
      <c r="C5" t="n">
        <v>123500</v>
      </c>
      <c r="D5" t="n">
        <v>0.9026868172213912</v>
      </c>
      <c r="E5" t="n">
        <v>0.4062090677496261</v>
      </c>
      <c r="F5" t="n">
        <v>0.3659541150897532</v>
      </c>
    </row>
    <row r="6">
      <c r="A6" t="inlineStr">
        <is>
          <t>Q5</t>
        </is>
      </c>
      <c r="B6" t="n">
        <v>111500</v>
      </c>
      <c r="C6" t="n">
        <v>111500</v>
      </c>
      <c r="D6" t="n">
        <v>0.8307552680441287</v>
      </c>
      <c r="E6" t="n">
        <v>0.3738398706198579</v>
      </c>
      <c r="F6" t="n">
        <v>0.3281193890470323</v>
      </c>
    </row>
    <row r="7">
      <c r="A7" t="inlineStr">
        <is>
          <t>Q6</t>
        </is>
      </c>
      <c r="B7" t="n">
        <v>135500</v>
      </c>
      <c r="C7" t="n">
        <v>135500</v>
      </c>
      <c r="D7" t="n">
        <v>1.210069758601346</v>
      </c>
      <c r="E7" t="n">
        <v>0.5445313913706058</v>
      </c>
      <c r="F7" t="n">
        <v>0.4656273189708502</v>
      </c>
    </row>
    <row r="8">
      <c r="A8" t="inlineStr">
        <is>
          <t>Q7</t>
        </is>
      </c>
      <c r="B8" t="n">
        <v>147500</v>
      </c>
      <c r="C8" t="n">
        <v>147500</v>
      </c>
      <c r="D8" t="n">
        <v>1.489150533096485</v>
      </c>
      <c r="E8" t="n">
        <v>0.6701177398934182</v>
      </c>
      <c r="F8" t="n">
        <v>0.5582592171144143</v>
      </c>
    </row>
    <row r="9">
      <c r="A9" t="inlineStr">
        <is>
          <t>Q8</t>
        </is>
      </c>
      <c r="B9" t="n">
        <v>105500</v>
      </c>
      <c r="C9" t="n">
        <v>105500</v>
      </c>
      <c r="D9" t="n">
        <v>1.131456416230366</v>
      </c>
      <c r="E9" t="n">
        <v>0.5091553873036649</v>
      </c>
      <c r="F9" t="n">
        <v>0.4132419343427196</v>
      </c>
    </row>
    <row r="10">
      <c r="A10" t="inlineStr">
        <is>
          <t>Sum disc. DPS</t>
        </is>
      </c>
      <c r="F10" t="n">
        <v>3.277914927971987</v>
      </c>
    </row>
    <row r="11">
      <c r="A11" t="inlineStr">
        <is>
          <t>Terminal value (q9)</t>
        </is>
      </c>
      <c r="E11" t="n">
        <v>17.72059753504643</v>
      </c>
      <c r="F11" t="n">
        <v>14.01204940265823</v>
      </c>
    </row>
    <row r="12">
      <c r="A12" t="inlineStr">
        <is>
          <t>DivStrip implied price</t>
        </is>
      </c>
      <c r="F12" t="n">
        <v>17.28996433063022</v>
      </c>
    </row>
    <row r="13">
      <c r="A13" t="inlineStr">
        <is>
          <t>12M FFA strip (front 4q)</t>
        </is>
      </c>
      <c r="B13" t="n">
        <v>155000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10.13430672039169</v>
      </c>
      <c r="C2" t="n">
        <v>12.70797085329765</v>
      </c>
      <c r="D2" t="n">
        <v>15.28163498620362</v>
      </c>
      <c r="E2" t="n">
        <v>17.85529911910959</v>
      </c>
      <c r="F2" t="n">
        <v>20.42896325201555</v>
      </c>
    </row>
    <row r="3">
      <c r="A3" t="inlineStr">
        <is>
          <t>-15%</t>
        </is>
      </c>
      <c r="B3" t="n">
        <v>10.5077624876454</v>
      </c>
      <c r="C3" t="n">
        <v>13.08142662055137</v>
      </c>
      <c r="D3" t="n">
        <v>15.65509075345733</v>
      </c>
      <c r="E3" t="n">
        <v>18.2287548863633</v>
      </c>
      <c r="F3" t="n">
        <v>20.80241901926926</v>
      </c>
    </row>
    <row r="4">
      <c r="A4" t="inlineStr">
        <is>
          <t>+0%</t>
        </is>
      </c>
      <c r="B4" t="n">
        <v>10.88121825489912</v>
      </c>
      <c r="C4" t="n">
        <v>13.45488238780508</v>
      </c>
      <c r="D4" t="n">
        <v>16.02854652071104</v>
      </c>
      <c r="E4" t="n">
        <v>18.60221065361701</v>
      </c>
      <c r="F4" t="n">
        <v>21.17587478652297</v>
      </c>
    </row>
    <row r="5">
      <c r="A5" t="inlineStr">
        <is>
          <t>+15%</t>
        </is>
      </c>
      <c r="B5" t="n">
        <v>11.25467402215283</v>
      </c>
      <c r="C5" t="n">
        <v>13.82833815505879</v>
      </c>
      <c r="D5" t="n">
        <v>16.40200228796476</v>
      </c>
      <c r="E5" t="n">
        <v>18.97566642087072</v>
      </c>
      <c r="F5" t="n">
        <v>21.54933055377668</v>
      </c>
    </row>
    <row r="6">
      <c r="A6" t="inlineStr">
        <is>
          <t>+30%</t>
        </is>
      </c>
      <c r="B6" t="n">
        <v>11.62812978940654</v>
      </c>
      <c r="C6" t="n">
        <v>14.2017939223125</v>
      </c>
      <c r="D6" t="n">
        <v>16.77545805521847</v>
      </c>
      <c r="E6" t="n">
        <v>19.34912218812444</v>
      </c>
      <c r="F6" t="n">
        <v>21.9227863210304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16.11</v>
      </c>
    </row>
    <row r="3">
      <c r="A3" t="n">
        <v>0.95</v>
      </c>
      <c r="B3" t="n">
        <v>16.14</v>
      </c>
    </row>
    <row r="4">
      <c r="A4" t="n">
        <v>1</v>
      </c>
      <c r="B4" t="n">
        <v>16.15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spot TCE VLCC: $285,500/day is 7.1x the 10-yr mean ($40,000) — unsustainable as a level. Confirm it is a genuine cycle spike (not a unit/source error) and do not anchor valuation to it.</t>
        </is>
      </c>
    </row>
    <row r="3">
      <c r="A3" t="inlineStr">
        <is>
          <t>Aframax/LR2 FFA forward curve is CONSTRUCTED (no market anchor) — built from the 12M TC + spot, not a Baltic / $MT / Worldscale series. Treat its dividend-strip contribution as indicative.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2026-07-31T18:05:29Z</dcterms:created>
  <dcterms:modified xsi:type="dcterms:W3CDTF">2026-07-31T18:05:29Z</dcterms:modified>
</cp:coreProperties>
</file>