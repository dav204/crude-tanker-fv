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NAV" sheetId="2" state="visible" r:id="rId2"/>
    <sheet name="DivStrip" sheetId="3" state="visible" r:id="rId3"/>
    <sheet name="Sensitivity" sheetId="4" state="visible" r:id="rId4"/>
    <sheet name="Payout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1" t="inlineStr">
        <is>
          <t>Ticker</t>
        </is>
      </c>
      <c r="B1" t="inlineStr">
        <is>
          <t>NAT</t>
        </is>
      </c>
    </row>
    <row r="2">
      <c r="A2" s="1" t="inlineStr">
        <is>
          <t>Valuation basis</t>
        </is>
      </c>
      <c r="B2" t="inlineStr">
        <is>
          <t>whole-company</t>
        </is>
      </c>
    </row>
    <row r="3">
      <c r="A3" s="1" t="inlineStr">
        <is>
          <t>Report date</t>
        </is>
      </c>
      <c r="B3" t="inlineStr">
        <is>
          <t>2026-Q1</t>
        </is>
      </c>
    </row>
    <row r="4">
      <c r="A4" s="1" t="inlineStr">
        <is>
          <t>Current price</t>
        </is>
      </c>
      <c r="B4" t="n">
        <v>5.15</v>
      </c>
    </row>
    <row r="5">
      <c r="A5" s="1" t="inlineStr">
        <is>
          <t>Model fair value</t>
        </is>
      </c>
      <c r="B5" t="n">
        <v>2.593785877506456</v>
      </c>
    </row>
    <row r="6">
      <c r="A6" s="1" t="inlineStr">
        <is>
          <t>Analyst target</t>
        </is>
      </c>
      <c r="B6" t="n">
        <v>6</v>
      </c>
    </row>
    <row r="7">
      <c r="A7" s="1" t="inlineStr">
        <is>
          <t>NAV / share</t>
        </is>
      </c>
      <c r="B7" t="n">
        <v>2.073224738585557</v>
      </c>
    </row>
    <row r="8">
      <c r="A8" s="1" t="inlineStr">
        <is>
          <t>DivStrip implied price</t>
        </is>
      </c>
      <c r="B8" t="n">
        <v>3.808428534988555</v>
      </c>
    </row>
    <row r="9">
      <c r="A9" s="1" t="inlineStr">
        <is>
          <t>12M TC cycle input Suezmax ($/day)</t>
        </is>
      </c>
      <c r="B9" t="n">
        <v>61250</v>
      </c>
    </row>
    <row r="10">
      <c r="A10" s="1" t="inlineStr">
        <is>
          <t>12M FFA strip Suezmax ($/day)</t>
        </is>
      </c>
      <c r="B10" t="n">
        <v>85000</v>
      </c>
    </row>
    <row r="11">
      <c r="A11" s="1" t="inlineStr">
        <is>
          <t>Cycle position</t>
        </is>
      </c>
      <c r="B11" t="n">
        <v>2.207445850001802</v>
      </c>
    </row>
    <row r="12">
      <c r="A12" s="1" t="inlineStr">
        <is>
          <t>Cycle band</t>
        </is>
      </c>
      <c r="B12" t="inlineStr">
        <is>
          <t>late-cycle/peak</t>
        </is>
      </c>
    </row>
    <row r="13">
      <c r="A13" s="1" t="inlineStr">
        <is>
          <t>w_nav</t>
        </is>
      </c>
      <c r="B13" t="n">
        <v>0.7</v>
      </c>
    </row>
    <row r="14">
      <c r="A14" s="1" t="inlineStr">
        <is>
          <t>w_earn</t>
        </is>
      </c>
      <c r="B14" t="n">
        <v>0.3</v>
      </c>
    </row>
    <row r="15">
      <c r="A15" s="1" t="inlineStr">
        <is>
          <t>Implied breakeven blended ($/day)</t>
        </is>
      </c>
      <c r="B15" t="n">
        <v>329457.8566655598</v>
      </c>
    </row>
    <row r="16">
      <c r="A16" s="1" t="inlineStr">
        <is>
          <t>Breakeven multiplier (× forward)</t>
        </is>
      </c>
      <c r="B16" t="n">
        <v>3.875974784300704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Item</t>
        </is>
      </c>
      <c r="B1" s="1" t="inlineStr">
        <is>
          <t>$M</t>
        </is>
      </c>
    </row>
    <row r="2">
      <c r="A2" t="inlineStr">
        <is>
          <t>Fleet value — Suezmax</t>
        </is>
      </c>
      <c r="B2" t="n">
        <v>875.0067129434933</v>
      </c>
    </row>
    <row r="3">
      <c r="A3" t="inlineStr">
        <is>
          <t>+ Cash &amp; equivalents</t>
        </is>
      </c>
      <c r="B3" t="n">
        <v>75</v>
      </c>
    </row>
    <row r="4">
      <c r="A4" t="inlineStr">
        <is>
          <t>+ Working capital (net)</t>
        </is>
      </c>
      <c r="B4" t="n">
        <v>25</v>
      </c>
    </row>
    <row r="5">
      <c r="A5" t="inlineStr">
        <is>
          <t>- Total debt</t>
        </is>
      </c>
      <c r="B5" t="n">
        <v>-395</v>
      </c>
    </row>
    <row r="6">
      <c r="A6" t="inlineStr">
        <is>
          <t>- Lease liabilities</t>
        </is>
      </c>
      <c r="B6" t="n">
        <v>-5</v>
      </c>
    </row>
    <row r="7">
      <c r="A7" t="inlineStr">
        <is>
          <t>- Newbuild commitments</t>
        </is>
      </c>
      <c r="B7" t="n">
        <v>-153</v>
      </c>
    </row>
    <row r="8">
      <c r="A8" t="inlineStr">
        <is>
          <t>+ Newbuild advances</t>
        </is>
      </c>
      <c r="B8" t="n">
        <v>17</v>
      </c>
    </row>
    <row r="9">
      <c r="A9">
        <f> NAV total</f>
        <v/>
      </c>
      <c r="B9" t="n">
        <v>439.0067129434934</v>
      </c>
    </row>
    <row r="10">
      <c r="A10" t="inlineStr">
        <is>
          <t>Diluted shares</t>
        </is>
      </c>
      <c r="B10" t="n">
        <v>211750663</v>
      </c>
    </row>
    <row r="11">
      <c r="A11" t="inlineStr">
        <is>
          <t>NAV / share</t>
        </is>
      </c>
      <c r="B11" t="n">
        <v>2.073224738585557</v>
      </c>
    </row>
    <row r="12">
      <c r="A12" t="inlineStr">
        <is>
          <t>NAV / share (ex yard discount)</t>
        </is>
      </c>
      <c r="B12" t="n">
        <v>2.073224738585557</v>
      </c>
    </row>
    <row r="13">
      <c r="A13" t="inlineStr">
        <is>
          <t>Yard-discount impact / share</t>
        </is>
      </c>
      <c r="B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1" t="inlineStr">
        <is>
          <t>Quarter</t>
        </is>
      </c>
      <c r="B1" s="1" t="inlineStr">
        <is>
          <t>FFA spot Suezmax ($/day)</t>
        </is>
      </c>
      <c r="C1" s="1" t="inlineStr">
        <is>
          <t>Blended TCE ($/day)</t>
        </is>
      </c>
      <c r="D1" s="1" t="inlineStr">
        <is>
          <t>EPS</t>
        </is>
      </c>
      <c r="E1" s="1" t="inlineStr">
        <is>
          <t>DPS</t>
        </is>
      </c>
      <c r="F1" s="1" t="inlineStr">
        <is>
          <t>Disc. DPS</t>
        </is>
      </c>
    </row>
    <row r="2">
      <c r="A2" t="inlineStr">
        <is>
          <t>Q1</t>
        </is>
      </c>
      <c r="B2" t="n">
        <v>81500</v>
      </c>
      <c r="C2" t="n">
        <v>71000</v>
      </c>
      <c r="D2" t="n">
        <v>0.4057969443051992</v>
      </c>
      <c r="E2" t="n">
        <v>0.4057969443051992</v>
      </c>
      <c r="F2" t="n">
        <v>0.3953466177810275</v>
      </c>
    </row>
    <row r="3">
      <c r="A3" t="inlineStr">
        <is>
          <t>Q2</t>
        </is>
      </c>
      <c r="B3" t="n">
        <v>99000</v>
      </c>
      <c r="C3" t="n">
        <v>83600</v>
      </c>
      <c r="D3" t="n">
        <v>0.4996618603267372</v>
      </c>
      <c r="E3" t="n">
        <v>0.4996618603267372</v>
      </c>
      <c r="F3" t="n">
        <v>0.474258049901691</v>
      </c>
    </row>
    <row r="4">
      <c r="A4" t="inlineStr">
        <is>
          <t>Q3</t>
        </is>
      </c>
      <c r="B4" t="n">
        <v>92000</v>
      </c>
      <c r="C4" t="n">
        <v>78560</v>
      </c>
      <c r="D4" t="n">
        <v>0.462115893918122</v>
      </c>
      <c r="E4" t="n">
        <v>0.462115893918122</v>
      </c>
      <c r="F4" t="n">
        <v>0.4273253644761562</v>
      </c>
    </row>
    <row r="5">
      <c r="A5" t="inlineStr">
        <is>
          <t>Q4</t>
        </is>
      </c>
      <c r="B5" t="n">
        <v>67500</v>
      </c>
      <c r="C5" t="n">
        <v>60920</v>
      </c>
      <c r="D5" t="n">
        <v>0.3307050114879687</v>
      </c>
      <c r="E5" t="n">
        <v>0.3307050114879687</v>
      </c>
      <c r="F5" t="n">
        <v>0.2979324427819537</v>
      </c>
    </row>
    <row r="6">
      <c r="A6" t="inlineStr">
        <is>
          <t>Q5</t>
        </is>
      </c>
      <c r="B6" t="n">
        <v>60000</v>
      </c>
      <c r="C6" t="n">
        <v>55520</v>
      </c>
      <c r="D6" t="n">
        <v>0.290477190335881</v>
      </c>
      <c r="E6" t="n">
        <v>0.290477190335881</v>
      </c>
      <c r="F6" t="n">
        <v>0.2549519345463977</v>
      </c>
    </row>
    <row r="7">
      <c r="A7" t="inlineStr">
        <is>
          <t>Q6</t>
        </is>
      </c>
      <c r="B7" t="n">
        <v>78000</v>
      </c>
      <c r="C7" t="n">
        <v>68480</v>
      </c>
      <c r="D7" t="n">
        <v>0.3870239611008915</v>
      </c>
      <c r="E7" t="n">
        <v>0.3870239611008915</v>
      </c>
      <c r="F7" t="n">
        <v>0.3309431416456894</v>
      </c>
    </row>
    <row r="8">
      <c r="A8" t="inlineStr">
        <is>
          <t>Q7</t>
        </is>
      </c>
      <c r="B8" t="n">
        <v>81500</v>
      </c>
      <c r="C8" t="n">
        <v>71000</v>
      </c>
      <c r="D8" t="n">
        <v>0.4057969443051992</v>
      </c>
      <c r="E8" t="n">
        <v>0.4057969443051992</v>
      </c>
      <c r="F8" t="n">
        <v>0.3380598228473598</v>
      </c>
    </row>
    <row r="9">
      <c r="A9" t="inlineStr">
        <is>
          <t>Q8</t>
        </is>
      </c>
      <c r="B9" t="n">
        <v>56500</v>
      </c>
      <c r="C9" t="n">
        <v>53000</v>
      </c>
      <c r="D9" t="n">
        <v>0.2717042071315734</v>
      </c>
      <c r="E9" t="n">
        <v>0.2717042071315734</v>
      </c>
      <c r="F9" t="n">
        <v>0.2205212297147743</v>
      </c>
    </row>
    <row r="10">
      <c r="A10" t="inlineStr">
        <is>
          <t>Sum disc. DPS</t>
        </is>
      </c>
      <c r="F10" t="n">
        <v>2.73933860369505</v>
      </c>
    </row>
    <row r="11">
      <c r="A11" t="inlineStr">
        <is>
          <t>Terminal value (q9)</t>
        </is>
      </c>
      <c r="E11" t="n">
        <v>1.352044362449122</v>
      </c>
      <c r="F11" t="n">
        <v>1.069089931293505</v>
      </c>
    </row>
    <row r="12">
      <c r="A12" t="inlineStr">
        <is>
          <t>DivStrip implied price</t>
        </is>
      </c>
      <c r="F12" t="n">
        <v>3.808428534988555</v>
      </c>
    </row>
    <row r="13">
      <c r="A13" t="inlineStr">
        <is>
          <t>12M FFA strip (front 4q)</t>
        </is>
      </c>
      <c r="B13" t="n">
        <v>85000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TCE \ Vessel</t>
        </is>
      </c>
      <c r="B1" s="1" t="inlineStr">
        <is>
          <t>-20%</t>
        </is>
      </c>
      <c r="C1" s="1" t="inlineStr">
        <is>
          <t>-10%</t>
        </is>
      </c>
      <c r="D1" s="1" t="inlineStr">
        <is>
          <t>+0%</t>
        </is>
      </c>
      <c r="E1" s="1" t="inlineStr">
        <is>
          <t>+10%</t>
        </is>
      </c>
      <c r="F1" s="1" t="inlineStr">
        <is>
          <t>+20%</t>
        </is>
      </c>
    </row>
    <row r="2">
      <c r="A2" t="inlineStr">
        <is>
          <t>-30%</t>
        </is>
      </c>
      <c r="B2" t="n">
        <v>1.586793594304569</v>
      </c>
      <c r="C2" t="n">
        <v>1.956967246269268</v>
      </c>
      <c r="D2" t="n">
        <v>2.327140898233967</v>
      </c>
      <c r="E2" t="n">
        <v>2.697314550198666</v>
      </c>
      <c r="F2" t="n">
        <v>3.067488202163364</v>
      </c>
    </row>
    <row r="3">
      <c r="A3" t="inlineStr">
        <is>
          <t>-15%</t>
        </is>
      </c>
      <c r="B3" t="n">
        <v>1.720116083940814</v>
      </c>
      <c r="C3" t="n">
        <v>2.090289735905512</v>
      </c>
      <c r="D3" t="n">
        <v>2.460463387870211</v>
      </c>
      <c r="E3" t="n">
        <v>2.83063703983491</v>
      </c>
      <c r="F3" t="n">
        <v>3.200810691799609</v>
      </c>
    </row>
    <row r="4">
      <c r="A4" t="inlineStr">
        <is>
          <t>+0%</t>
        </is>
      </c>
      <c r="B4" t="n">
        <v>1.853438573577058</v>
      </c>
      <c r="C4" t="n">
        <v>2.223612225541757</v>
      </c>
      <c r="D4" t="n">
        <v>2.593785877506456</v>
      </c>
      <c r="E4" t="n">
        <v>2.963959529471155</v>
      </c>
      <c r="F4" t="n">
        <v>3.334133181435854</v>
      </c>
    </row>
    <row r="5">
      <c r="A5" t="inlineStr">
        <is>
          <t>+15%</t>
        </is>
      </c>
      <c r="B5" t="n">
        <v>1.986761063213303</v>
      </c>
      <c r="C5" t="n">
        <v>2.356934715178002</v>
      </c>
      <c r="D5" t="n">
        <v>2.727108367142701</v>
      </c>
      <c r="E5" t="n">
        <v>3.0972820191074</v>
      </c>
      <c r="F5" t="n">
        <v>3.467455671072099</v>
      </c>
    </row>
    <row r="6">
      <c r="A6" t="inlineStr">
        <is>
          <t>+30%</t>
        </is>
      </c>
      <c r="B6" t="n">
        <v>2.120083552849548</v>
      </c>
      <c r="C6" t="n">
        <v>2.490257204814247</v>
      </c>
      <c r="D6" t="n">
        <v>2.860430856778946</v>
      </c>
      <c r="E6" t="n">
        <v>3.230604508743645</v>
      </c>
      <c r="F6" t="n">
        <v>3.600778160708343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</cols>
  <sheetData>
    <row r="1">
      <c r="A1" s="1" t="inlineStr">
        <is>
          <t>Dividend payout</t>
        </is>
      </c>
      <c r="B1" s="1" t="inlineStr">
        <is>
          <t>Fair value</t>
        </is>
      </c>
    </row>
    <row r="2">
      <c r="A2" t="n">
        <v>0.8</v>
      </c>
      <c r="B2" t="n">
        <v>2.43</v>
      </c>
    </row>
    <row r="3">
      <c r="A3" t="n">
        <v>0.95</v>
      </c>
      <c r="B3" t="n">
        <v>2.55</v>
      </c>
    </row>
    <row r="4">
      <c r="A4" t="n">
        <v>1</v>
      </c>
      <c r="B4" t="n">
        <v>2.59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Data validation warnings</t>
        </is>
      </c>
    </row>
    <row r="2">
      <c r="A2" t="inlineStr">
        <is>
          <t>spot TCE VLCC: $388,300/day is 9.7x the 10-yr mean ($40,000) — unsustainable as a level. Confirm it is a genuine cycle spike (not a unit/source error) and do not anchor valuation to 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2026-06-12T14:27:51Z</dcterms:created>
  <dcterms:modified xsi:type="dcterms:W3CDTF">2026-06-12T14:27:51Z</dcterms:modified>
</cp:coreProperties>
</file>