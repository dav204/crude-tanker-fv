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6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NAT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6.16</v>
      </c>
    </row>
    <row r="5">
      <c r="A5" s="1" t="inlineStr">
        <is>
          <t>Model fair value</t>
        </is>
      </c>
      <c r="B5" t="n">
        <v>3.138322936781033</v>
      </c>
    </row>
    <row r="6">
      <c r="A6" s="1" t="inlineStr">
        <is>
          <t>Analyst target</t>
        </is>
      </c>
      <c r="B6" t="n">
        <v>6</v>
      </c>
    </row>
    <row r="7">
      <c r="A7" s="1" t="inlineStr">
        <is>
          <t>NAV / share</t>
        </is>
      </c>
      <c r="B7" t="n">
        <v>2.845016518733961</v>
      </c>
    </row>
    <row r="8">
      <c r="A8" s="1" t="inlineStr">
        <is>
          <t>DivStrip implied price</t>
        </is>
      </c>
      <c r="B8" t="n">
        <v>3.822704578890868</v>
      </c>
    </row>
    <row r="9">
      <c r="A9" s="1" t="inlineStr">
        <is>
          <t>12M TC cycle input Suezmax ($/day)</t>
        </is>
      </c>
      <c r="B9" t="n">
        <v>61250</v>
      </c>
    </row>
    <row r="10">
      <c r="A10" s="1" t="inlineStr">
        <is>
          <t>12M FFA strip Suezmax ($/day)</t>
        </is>
      </c>
      <c r="B10" t="n">
        <v>85000</v>
      </c>
    </row>
    <row r="11">
      <c r="A11" s="1" t="inlineStr">
        <is>
          <t>Cycle position</t>
        </is>
      </c>
      <c r="B11" t="n">
        <v>2.207445850001802</v>
      </c>
    </row>
    <row r="12">
      <c r="A12" s="1" t="inlineStr">
        <is>
          <t>Cycle band</t>
        </is>
      </c>
      <c r="B12" t="inlineStr">
        <is>
          <t>late-cycle/peak</t>
        </is>
      </c>
    </row>
    <row r="13">
      <c r="A13" s="1" t="inlineStr">
        <is>
          <t>w_nav</t>
        </is>
      </c>
      <c r="B13" t="n">
        <v>0.7</v>
      </c>
    </row>
    <row r="14">
      <c r="A14" s="1" t="inlineStr">
        <is>
          <t>w_earn</t>
        </is>
      </c>
      <c r="B14" t="n">
        <v>0.3</v>
      </c>
    </row>
    <row r="15">
      <c r="A15" s="1" t="inlineStr">
        <is>
          <t>Implied breakeven blended ($/day)</t>
        </is>
      </c>
      <c r="B15" t="n">
        <v>425460.8147634362</v>
      </c>
    </row>
    <row r="16">
      <c r="A16" s="1" t="inlineStr">
        <is>
          <t>Breakeven multiplier (× forward)</t>
        </is>
      </c>
      <c r="B16" t="n">
        <v>5.005421350158073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3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Suezmax</t>
        </is>
      </c>
      <c r="B2" t="n">
        <v>818.4821340878682</v>
      </c>
    </row>
    <row r="3">
      <c r="A3" t="inlineStr">
        <is>
          <t>+ Cash &amp; equivalents</t>
        </is>
      </c>
      <c r="B3" t="n">
        <v>81.12</v>
      </c>
    </row>
    <row r="4">
      <c r="A4" t="inlineStr">
        <is>
          <t>+ Working capital (net)</t>
        </is>
      </c>
      <c r="B4" t="n">
        <v>53.569</v>
      </c>
    </row>
    <row r="5">
      <c r="A5" t="inlineStr">
        <is>
          <t>- Total debt</t>
        </is>
      </c>
      <c r="B5" t="n">
        <v>-415.394</v>
      </c>
    </row>
    <row r="6">
      <c r="A6" t="inlineStr">
        <is>
          <t>- Lease liabilities</t>
        </is>
      </c>
      <c r="B6" t="n">
        <v>-0.343</v>
      </c>
    </row>
    <row r="7">
      <c r="A7" t="inlineStr">
        <is>
          <t>- Newbuild commitments</t>
        </is>
      </c>
      <c r="B7" t="n">
        <v>-0</v>
      </c>
    </row>
    <row r="8">
      <c r="A8" t="inlineStr">
        <is>
          <t>+ Newbuild advances</t>
        </is>
      </c>
      <c r="B8" t="n">
        <v>0</v>
      </c>
    </row>
    <row r="9">
      <c r="A9">
        <f> NAV total</f>
        <v/>
      </c>
      <c r="B9" t="n">
        <v>602.4341340878682</v>
      </c>
    </row>
    <row r="10">
      <c r="A10" t="inlineStr">
        <is>
          <t>Diluted shares</t>
        </is>
      </c>
      <c r="B10" t="n">
        <v>211750663</v>
      </c>
    </row>
    <row r="11">
      <c r="A11" t="inlineStr">
        <is>
          <t>NAV / share</t>
        </is>
      </c>
      <c r="B11" t="n">
        <v>2.845016518733961</v>
      </c>
    </row>
    <row r="12">
      <c r="A12" t="inlineStr">
        <is>
          <t>NAV / share (ex yard discount)</t>
        </is>
      </c>
      <c r="B12" t="n">
        <v>2.845016518733961</v>
      </c>
    </row>
    <row r="13">
      <c r="A13" t="inlineStr">
        <is>
          <t>Yard-discount impact / share</t>
        </is>
      </c>
      <c r="B13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6" customWidth="1" min="2" max="2"/>
    <col width="21" customWidth="1" min="3" max="3"/>
    <col width="21" customWidth="1" min="4" max="4"/>
    <col width="21" customWidth="1" min="5" max="5"/>
    <col width="21" customWidth="1" min="6" max="6"/>
  </cols>
  <sheetData>
    <row r="1">
      <c r="A1" s="1" t="inlineStr">
        <is>
          <t>Quarter</t>
        </is>
      </c>
      <c r="B1" s="1" t="inlineStr">
        <is>
          <t>FFA spot Suezmax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81500</v>
      </c>
      <c r="C2" t="n">
        <v>69781.25</v>
      </c>
      <c r="D2" t="n">
        <v>0.3469814507735449</v>
      </c>
      <c r="E2" t="n">
        <v>0.3469814507735449</v>
      </c>
      <c r="F2" t="n">
        <v>0.3380457761478455</v>
      </c>
    </row>
    <row r="3">
      <c r="A3" t="inlineStr">
        <is>
          <t>Q2</t>
        </is>
      </c>
      <c r="B3" t="n">
        <v>99000</v>
      </c>
      <c r="C3" t="n">
        <v>81812.5</v>
      </c>
      <c r="D3" t="n">
        <v>0.42665074677948</v>
      </c>
      <c r="E3" t="n">
        <v>0.42665074677948</v>
      </c>
      <c r="F3" t="n">
        <v>0.4049589676995182</v>
      </c>
    </row>
    <row r="4">
      <c r="A4" t="inlineStr">
        <is>
          <t>Q3</t>
        </is>
      </c>
      <c r="B4" t="n">
        <v>92000</v>
      </c>
      <c r="C4" t="n">
        <v>77000</v>
      </c>
      <c r="D4" t="n">
        <v>0.3947830283771059</v>
      </c>
      <c r="E4" t="n">
        <v>0.3947830283771059</v>
      </c>
      <c r="F4" t="n">
        <v>0.3650616732956128</v>
      </c>
    </row>
    <row r="5">
      <c r="A5" t="inlineStr">
        <is>
          <t>Q4</t>
        </is>
      </c>
      <c r="B5" t="n">
        <v>67500</v>
      </c>
      <c r="C5" t="n">
        <v>60156.25</v>
      </c>
      <c r="D5" t="n">
        <v>0.2832460139687969</v>
      </c>
      <c r="E5" t="n">
        <v>0.2832460139687969</v>
      </c>
      <c r="F5" t="n">
        <v>0.2551765891610783</v>
      </c>
    </row>
    <row r="6">
      <c r="A6" t="inlineStr">
        <is>
          <t>Q5</t>
        </is>
      </c>
      <c r="B6" t="n">
        <v>60000</v>
      </c>
      <c r="C6" t="n">
        <v>55000</v>
      </c>
      <c r="D6" t="n">
        <v>0.2491020299662533</v>
      </c>
      <c r="E6" t="n">
        <v>0.2491020299662533</v>
      </c>
      <c r="F6" t="n">
        <v>0.2186369413925238</v>
      </c>
    </row>
    <row r="7">
      <c r="A7" t="inlineStr">
        <is>
          <t>Q6</t>
        </is>
      </c>
      <c r="B7" t="n">
        <v>78000</v>
      </c>
      <c r="C7" t="n">
        <v>67375</v>
      </c>
      <c r="D7" t="n">
        <v>0.3310475915723579</v>
      </c>
      <c r="E7" t="n">
        <v>0.3310475915723579</v>
      </c>
      <c r="F7" t="n">
        <v>0.2830778995635235</v>
      </c>
    </row>
    <row r="8">
      <c r="A8" t="inlineStr">
        <is>
          <t>Q7</t>
        </is>
      </c>
      <c r="B8" t="n">
        <v>81500</v>
      </c>
      <c r="C8" t="n">
        <v>69781.25</v>
      </c>
      <c r="D8" t="n">
        <v>0.3469814507735449</v>
      </c>
      <c r="E8" t="n">
        <v>0.3469814507735449</v>
      </c>
      <c r="F8" t="n">
        <v>0.2890620282532315</v>
      </c>
    </row>
    <row r="9">
      <c r="A9" t="inlineStr">
        <is>
          <t>Q8</t>
        </is>
      </c>
      <c r="B9" t="n">
        <v>56500</v>
      </c>
      <c r="C9" t="n">
        <v>52593.75</v>
      </c>
      <c r="D9" t="n">
        <v>0.2331681707650663</v>
      </c>
      <c r="E9" t="n">
        <v>0.2331681707650663</v>
      </c>
      <c r="F9" t="n">
        <v>0.1892445181114084</v>
      </c>
    </row>
    <row r="10">
      <c r="A10" t="inlineStr">
        <is>
          <t>Sum disc. DPS</t>
        </is>
      </c>
      <c r="F10" t="n">
        <v>2.343264393624742</v>
      </c>
    </row>
    <row r="11">
      <c r="A11" t="inlineStr">
        <is>
          <t>Terminal value (q9)</t>
        </is>
      </c>
      <c r="E11" t="n">
        <v>1.871001403642067</v>
      </c>
      <c r="F11" t="n">
        <v>1.479440185266126</v>
      </c>
    </row>
    <row r="12">
      <c r="A12" t="inlineStr">
        <is>
          <t>DivStrip implied price</t>
        </is>
      </c>
      <c r="F12" t="n">
        <v>3.822704578890868</v>
      </c>
    </row>
    <row r="13">
      <c r="A13" t="inlineStr">
        <is>
          <t>12M FFA strip (front 4q)</t>
        </is>
      </c>
      <c r="B13" t="n">
        <v>85000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2.233687874594731</v>
      </c>
      <c r="C2" t="n">
        <v>2.572845885163292</v>
      </c>
      <c r="D2" t="n">
        <v>2.912003895731852</v>
      </c>
      <c r="E2" t="n">
        <v>3.251161906300414</v>
      </c>
      <c r="F2" t="n">
        <v>3.590319916868973</v>
      </c>
    </row>
    <row r="3">
      <c r="A3" t="inlineStr">
        <is>
          <t>-15%</t>
        </is>
      </c>
      <c r="B3" t="n">
        <v>2.346847395119322</v>
      </c>
      <c r="C3" t="n">
        <v>2.686005405687882</v>
      </c>
      <c r="D3" t="n">
        <v>3.025163416256443</v>
      </c>
      <c r="E3" t="n">
        <v>3.364321426825004</v>
      </c>
      <c r="F3" t="n">
        <v>3.703479437393564</v>
      </c>
    </row>
    <row r="4">
      <c r="A4" t="inlineStr">
        <is>
          <t>+0%</t>
        </is>
      </c>
      <c r="B4" t="n">
        <v>2.460006915643913</v>
      </c>
      <c r="C4" t="n">
        <v>2.799164926212472</v>
      </c>
      <c r="D4" t="n">
        <v>3.138322936781033</v>
      </c>
      <c r="E4" t="n">
        <v>3.477480947349595</v>
      </c>
      <c r="F4" t="n">
        <v>3.816638957918154</v>
      </c>
    </row>
    <row r="5">
      <c r="A5" t="inlineStr">
        <is>
          <t>+15%</t>
        </is>
      </c>
      <c r="B5" t="n">
        <v>2.573166436168503</v>
      </c>
      <c r="C5" t="n">
        <v>2.912324446737063</v>
      </c>
      <c r="D5" t="n">
        <v>3.251482457305623</v>
      </c>
      <c r="E5" t="n">
        <v>3.590640467874185</v>
      </c>
      <c r="F5" t="n">
        <v>3.929798478442744</v>
      </c>
    </row>
    <row r="6">
      <c r="A6" t="inlineStr">
        <is>
          <t>+30%</t>
        </is>
      </c>
      <c r="B6" t="n">
        <v>2.686325956693093</v>
      </c>
      <c r="C6" t="n">
        <v>3.025483967261653</v>
      </c>
      <c r="D6" t="n">
        <v>3.364641977830214</v>
      </c>
      <c r="E6" t="n">
        <v>3.703799988398775</v>
      </c>
      <c r="F6" t="n">
        <v>4.042957998967335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3.12</v>
      </c>
    </row>
    <row r="3">
      <c r="A3" t="n">
        <v>0.95</v>
      </c>
      <c r="B3" t="n">
        <v>3.13</v>
      </c>
    </row>
    <row r="4">
      <c r="A4" t="n">
        <v>1</v>
      </c>
      <c r="B4" t="n">
        <v>3.14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2026-07-24T16:04:28Z</dcterms:created>
  <dcterms:modified xsi:type="dcterms:W3CDTF">2026-07-24T16:04:28Z</dcterms:modified>
</cp:coreProperties>
</file>