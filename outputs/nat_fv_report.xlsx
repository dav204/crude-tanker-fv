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ummary" sheetId="1" state="visible" r:id="rId1"/>
    <sheet name="NAV" sheetId="2" state="visible" r:id="rId2"/>
    <sheet name="DivStrip" sheetId="3" state="visible" r:id="rId3"/>
    <sheet name="Sensitivity" sheetId="4" state="visible" r:id="rId4"/>
    <sheet name="Payout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1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6"/>
  <sheetViews>
    <sheetView workbookViewId="0">
      <selection activeCell="A1" sqref="A1"/>
    </sheetView>
  </sheetViews>
  <sheetFormatPr baseColWidth="8" defaultRowHeight="15"/>
  <cols>
    <col width="36" customWidth="1" min="1" max="1"/>
    <col width="20" customWidth="1" min="2" max="2"/>
  </cols>
  <sheetData>
    <row r="1">
      <c r="A1" s="1" t="inlineStr">
        <is>
          <t>Ticker</t>
        </is>
      </c>
      <c r="B1" t="inlineStr">
        <is>
          <t>NAT</t>
        </is>
      </c>
    </row>
    <row r="2">
      <c r="A2" s="1" t="inlineStr">
        <is>
          <t>Valuation basis</t>
        </is>
      </c>
      <c r="B2" t="inlineStr">
        <is>
          <t>whole-company</t>
        </is>
      </c>
    </row>
    <row r="3">
      <c r="A3" s="1" t="inlineStr">
        <is>
          <t>Report date</t>
        </is>
      </c>
      <c r="B3" t="inlineStr">
        <is>
          <t>2026-Q1</t>
        </is>
      </c>
    </row>
    <row r="4">
      <c r="A4" s="1" t="inlineStr">
        <is>
          <t>Current price</t>
        </is>
      </c>
      <c r="B4" t="n">
        <v>6.44</v>
      </c>
    </row>
    <row r="5">
      <c r="A5" s="1" t="inlineStr">
        <is>
          <t>Model fair value</t>
        </is>
      </c>
      <c r="B5" t="n">
        <v>2.965320900310975</v>
      </c>
    </row>
    <row r="6">
      <c r="A6" s="1" t="inlineStr">
        <is>
          <t>Analyst target</t>
        </is>
      </c>
      <c r="B6" t="n">
        <v>6</v>
      </c>
    </row>
    <row r="7">
      <c r="A7" s="1" t="inlineStr">
        <is>
          <t>NAV / share</t>
        </is>
      </c>
      <c r="B7" t="n">
        <v>2.845016518733961</v>
      </c>
    </row>
    <row r="8">
      <c r="A8" s="1" t="inlineStr">
        <is>
          <t>DivStrip implied price</t>
        </is>
      </c>
      <c r="B8" t="n">
        <v>3.246031123990674</v>
      </c>
    </row>
    <row r="9">
      <c r="A9" s="1" t="inlineStr">
        <is>
          <t>12M TC cycle input Suezmax ($/day)</t>
        </is>
      </c>
      <c r="B9" t="n">
        <v>58050</v>
      </c>
    </row>
    <row r="10">
      <c r="A10" s="1" t="inlineStr">
        <is>
          <t>12M FFA strip Suezmax ($/day)</t>
        </is>
      </c>
      <c r="B10" t="n">
        <v>88475</v>
      </c>
    </row>
    <row r="11">
      <c r="A11" s="1" t="inlineStr">
        <is>
          <t>Cycle position</t>
        </is>
      </c>
      <c r="B11" t="n">
        <v>2.092118066818034</v>
      </c>
    </row>
    <row r="12">
      <c r="A12" s="1" t="inlineStr">
        <is>
          <t>Cycle band</t>
        </is>
      </c>
      <c r="B12" t="inlineStr">
        <is>
          <t>late-cycle/peak</t>
        </is>
      </c>
    </row>
    <row r="13">
      <c r="A13" s="1" t="inlineStr">
        <is>
          <t>w_nav</t>
        </is>
      </c>
      <c r="B13" t="n">
        <v>0.7</v>
      </c>
    </row>
    <row r="14">
      <c r="A14" s="1" t="inlineStr">
        <is>
          <t>w_earn</t>
        </is>
      </c>
      <c r="B14" t="n">
        <v>0.3</v>
      </c>
    </row>
    <row r="15">
      <c r="A15" s="1" t="inlineStr">
        <is>
          <t>Implied breakeven blended ($/day)</t>
        </is>
      </c>
      <c r="B15" t="n">
        <v>617241.770497262</v>
      </c>
    </row>
    <row r="16">
      <c r="A16" s="1" t="inlineStr">
        <is>
          <t>Breakeven multiplier (× forward)</t>
        </is>
      </c>
      <c r="B16" t="n">
        <v>6.976454032181543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13"/>
  <sheetViews>
    <sheetView workbookViewId="0">
      <selection activeCell="A1" sqref="A1"/>
    </sheetView>
  </sheetViews>
  <sheetFormatPr baseColWidth="8" defaultRowHeight="15"/>
  <cols>
    <col width="32" customWidth="1" min="1" max="1"/>
    <col width="20" customWidth="1" min="2" max="2"/>
  </cols>
  <sheetData>
    <row r="1">
      <c r="A1" s="1" t="inlineStr">
        <is>
          <t>Item</t>
        </is>
      </c>
      <c r="B1" s="1" t="inlineStr">
        <is>
          <t>$M</t>
        </is>
      </c>
    </row>
    <row r="2">
      <c r="A2" t="inlineStr">
        <is>
          <t>Fleet value — Suezmax</t>
        </is>
      </c>
      <c r="B2" t="n">
        <v>818.4821340878682</v>
      </c>
    </row>
    <row r="3">
      <c r="A3" t="inlineStr">
        <is>
          <t>+ Cash &amp; equivalents</t>
        </is>
      </c>
      <c r="B3" t="n">
        <v>81.12</v>
      </c>
    </row>
    <row r="4">
      <c r="A4" t="inlineStr">
        <is>
          <t>+ Working capital (net)</t>
        </is>
      </c>
      <c r="B4" t="n">
        <v>53.569</v>
      </c>
    </row>
    <row r="5">
      <c r="A5" t="inlineStr">
        <is>
          <t>- Total debt</t>
        </is>
      </c>
      <c r="B5" t="n">
        <v>-415.394</v>
      </c>
    </row>
    <row r="6">
      <c r="A6" t="inlineStr">
        <is>
          <t>- Lease liabilities</t>
        </is>
      </c>
      <c r="B6" t="n">
        <v>-0.343</v>
      </c>
    </row>
    <row r="7">
      <c r="A7" t="inlineStr">
        <is>
          <t>- Newbuild commitments</t>
        </is>
      </c>
      <c r="B7" t="n">
        <v>-0</v>
      </c>
    </row>
    <row r="8">
      <c r="A8" t="inlineStr">
        <is>
          <t>+ Newbuild advances</t>
        </is>
      </c>
      <c r="B8" t="n">
        <v>0</v>
      </c>
    </row>
    <row r="9">
      <c r="A9">
        <f> NAV total</f>
        <v/>
      </c>
      <c r="B9" t="n">
        <v>602.4341340878682</v>
      </c>
    </row>
    <row r="10">
      <c r="A10" t="inlineStr">
        <is>
          <t>Diluted shares</t>
        </is>
      </c>
      <c r="B10" t="n">
        <v>211750663</v>
      </c>
    </row>
    <row r="11">
      <c r="A11" t="inlineStr">
        <is>
          <t>NAV / share</t>
        </is>
      </c>
      <c r="B11" t="n">
        <v>2.845016518733961</v>
      </c>
    </row>
    <row r="12">
      <c r="A12" t="inlineStr">
        <is>
          <t>NAV / share (ex yard discount)</t>
        </is>
      </c>
      <c r="B12" t="n">
        <v>2.845016518733961</v>
      </c>
    </row>
    <row r="13">
      <c r="A13" t="inlineStr">
        <is>
          <t>Yard-discount impact / share</t>
        </is>
      </c>
      <c r="B13" t="n">
        <v>0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13"/>
  <sheetViews>
    <sheetView workbookViewId="0">
      <selection activeCell="A1" sqref="A1"/>
    </sheetView>
  </sheetViews>
  <sheetFormatPr baseColWidth="8" defaultRowHeight="15"/>
  <cols>
    <col width="26" customWidth="1" min="1" max="1"/>
    <col width="26" customWidth="1" min="2" max="2"/>
    <col width="21" customWidth="1" min="3" max="3"/>
    <col width="21" customWidth="1" min="4" max="4"/>
    <col width="21" customWidth="1" min="5" max="5"/>
    <col width="21" customWidth="1" min="6" max="6"/>
  </cols>
  <sheetData>
    <row r="1">
      <c r="A1" s="1" t="inlineStr">
        <is>
          <t>Quarter</t>
        </is>
      </c>
      <c r="B1" s="1" t="inlineStr">
        <is>
          <t>FFA spot Suezmax ($/day)</t>
        </is>
      </c>
      <c r="C1" s="1" t="inlineStr">
        <is>
          <t>Blended TCE ($/day)</t>
        </is>
      </c>
      <c r="D1" s="1" t="inlineStr">
        <is>
          <t>EPS</t>
        </is>
      </c>
      <c r="E1" s="1" t="inlineStr">
        <is>
          <t>DPS</t>
        </is>
      </c>
      <c r="F1" s="1" t="inlineStr">
        <is>
          <t>Disc. DPS</t>
        </is>
      </c>
    </row>
    <row r="2">
      <c r="A2" t="inlineStr">
        <is>
          <t>Q1</t>
        </is>
      </c>
      <c r="B2" t="n">
        <v>118900</v>
      </c>
      <c r="C2" t="n">
        <v>95493.75</v>
      </c>
      <c r="D2" t="n">
        <v>0.517246117666229</v>
      </c>
      <c r="E2" t="n">
        <v>0.517246117666229</v>
      </c>
      <c r="F2" t="n">
        <v>0.5039256851227379</v>
      </c>
    </row>
    <row r="3">
      <c r="A3" t="inlineStr">
        <is>
          <t>Q2</t>
        </is>
      </c>
      <c r="B3" t="n">
        <v>118900</v>
      </c>
      <c r="C3" t="n">
        <v>95493.75</v>
      </c>
      <c r="D3" t="n">
        <v>0.517246117666229</v>
      </c>
      <c r="E3" t="n">
        <v>0.517246117666229</v>
      </c>
      <c r="F3" t="n">
        <v>0.4909482883548392</v>
      </c>
    </row>
    <row r="4">
      <c r="A4" t="inlineStr">
        <is>
          <t>Q3</t>
        </is>
      </c>
      <c r="B4" t="n">
        <v>58050</v>
      </c>
      <c r="C4" t="n">
        <v>53659.375</v>
      </c>
      <c r="D4" t="n">
        <v>0.240224594125592</v>
      </c>
      <c r="E4" t="n">
        <v>0.240224594125592</v>
      </c>
      <c r="F4" t="n">
        <v>0.2221392157073126</v>
      </c>
    </row>
    <row r="5">
      <c r="A5" t="inlineStr">
        <is>
          <t>Q4</t>
        </is>
      </c>
      <c r="B5" t="n">
        <v>58050</v>
      </c>
      <c r="C5" t="n">
        <v>53659.375</v>
      </c>
      <c r="D5" t="n">
        <v>0.240224594125592</v>
      </c>
      <c r="E5" t="n">
        <v>0.240224594125592</v>
      </c>
      <c r="F5" t="n">
        <v>0.2164185532662991</v>
      </c>
    </row>
    <row r="6">
      <c r="A6" t="inlineStr">
        <is>
          <t>Q5</t>
        </is>
      </c>
      <c r="B6" t="n">
        <v>26950</v>
      </c>
      <c r="C6" t="n">
        <v>32278.125</v>
      </c>
      <c r="D6" t="n">
        <v>0.09864087379504451</v>
      </c>
      <c r="E6" t="n">
        <v>0.09864087379504451</v>
      </c>
      <c r="F6" t="n">
        <v>0.08657713044633228</v>
      </c>
    </row>
    <row r="7">
      <c r="A7" t="inlineStr">
        <is>
          <t>Q6</t>
        </is>
      </c>
      <c r="B7" t="n">
        <v>26950</v>
      </c>
      <c r="C7" t="n">
        <v>32278.125</v>
      </c>
      <c r="D7" t="n">
        <v>0.09864087379504451</v>
      </c>
      <c r="E7" t="n">
        <v>0.09864087379504451</v>
      </c>
      <c r="F7" t="n">
        <v>0.08434754420772939</v>
      </c>
    </row>
    <row r="8">
      <c r="A8" t="inlineStr">
        <is>
          <t>Q7</t>
        </is>
      </c>
      <c r="B8" t="n">
        <v>26950</v>
      </c>
      <c r="C8" t="n">
        <v>32278.125</v>
      </c>
      <c r="D8" t="n">
        <v>0.09864087379504451</v>
      </c>
      <c r="E8" t="n">
        <v>0.09864087379504451</v>
      </c>
      <c r="F8" t="n">
        <v>0.0821753756124434</v>
      </c>
    </row>
    <row r="9">
      <c r="A9" t="inlineStr">
        <is>
          <t>Q8</t>
        </is>
      </c>
      <c r="B9" t="n">
        <v>26950</v>
      </c>
      <c r="C9" t="n">
        <v>32278.125</v>
      </c>
      <c r="D9" t="n">
        <v>0.09864087379504451</v>
      </c>
      <c r="E9" t="n">
        <v>0.09864087379504451</v>
      </c>
      <c r="F9" t="n">
        <v>0.08005914600685374</v>
      </c>
    </row>
    <row r="10">
      <c r="A10" t="inlineStr">
        <is>
          <t>Sum disc. DPS</t>
        </is>
      </c>
      <c r="F10" t="n">
        <v>1.766590938724548</v>
      </c>
    </row>
    <row r="11">
      <c r="A11" t="inlineStr">
        <is>
          <t>Terminal value (q9)</t>
        </is>
      </c>
      <c r="E11" t="n">
        <v>1.871001403642067</v>
      </c>
      <c r="F11" t="n">
        <v>1.479440185266126</v>
      </c>
    </row>
    <row r="12">
      <c r="A12" t="inlineStr">
        <is>
          <t>DivStrip implied price</t>
        </is>
      </c>
      <c r="F12" t="n">
        <v>3.246031123990674</v>
      </c>
    </row>
    <row r="13">
      <c r="A13" t="inlineStr">
        <is>
          <t>12M FFA strip (front 4q)</t>
        </is>
      </c>
      <c r="B13" t="n">
        <v>88475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6"/>
  <sheetViews>
    <sheetView workbookViewId="0">
      <selection activeCell="A1" sqref="A1"/>
    </sheetView>
  </sheetViews>
  <sheetFormatPr baseColWidth="8" defaultRowHeight="15"/>
  <cols>
    <col width="14" customWidth="1" min="1" max="1"/>
    <col width="20" customWidth="1" min="2" max="2"/>
    <col width="20" customWidth="1" min="3" max="3"/>
    <col width="20" customWidth="1" min="4" max="4"/>
    <col width="20" customWidth="1" min="5" max="5"/>
    <col width="20" customWidth="1" min="6" max="6"/>
  </cols>
  <sheetData>
    <row r="1">
      <c r="A1" s="1" t="inlineStr">
        <is>
          <t>TCE \ Vessel</t>
        </is>
      </c>
      <c r="B1" s="1" t="inlineStr">
        <is>
          <t>-20%</t>
        </is>
      </c>
      <c r="C1" s="1" t="inlineStr">
        <is>
          <t>-10%</t>
        </is>
      </c>
      <c r="D1" s="1" t="inlineStr">
        <is>
          <t>+0%</t>
        </is>
      </c>
      <c r="E1" s="1" t="inlineStr">
        <is>
          <t>+10%</t>
        </is>
      </c>
      <c r="F1" s="1" t="inlineStr">
        <is>
          <t>+20%</t>
        </is>
      </c>
    </row>
    <row r="2">
      <c r="A2" t="inlineStr">
        <is>
          <t>-30%</t>
        </is>
      </c>
      <c r="B2" t="n">
        <v>2.11258644906569</v>
      </c>
      <c r="C2" t="n">
        <v>2.451744459634251</v>
      </c>
      <c r="D2" t="n">
        <v>2.790902470202811</v>
      </c>
      <c r="E2" t="n">
        <v>3.130060480771373</v>
      </c>
      <c r="F2" t="n">
        <v>3.469218491339932</v>
      </c>
    </row>
    <row r="3">
      <c r="A3" t="inlineStr">
        <is>
          <t>-15%</t>
        </is>
      </c>
      <c r="B3" t="n">
        <v>2.199795664119772</v>
      </c>
      <c r="C3" t="n">
        <v>2.538953674688333</v>
      </c>
      <c r="D3" t="n">
        <v>2.878111685256893</v>
      </c>
      <c r="E3" t="n">
        <v>3.217269695825455</v>
      </c>
      <c r="F3" t="n">
        <v>3.556427706394014</v>
      </c>
    </row>
    <row r="4">
      <c r="A4" t="inlineStr">
        <is>
          <t>+0%</t>
        </is>
      </c>
      <c r="B4" t="n">
        <v>2.287004879173854</v>
      </c>
      <c r="C4" t="n">
        <v>2.626162889742414</v>
      </c>
      <c r="D4" t="n">
        <v>2.965320900310975</v>
      </c>
      <c r="E4" t="n">
        <v>3.304478910879536</v>
      </c>
      <c r="F4" t="n">
        <v>3.643636921448096</v>
      </c>
    </row>
    <row r="5">
      <c r="A5" t="inlineStr">
        <is>
          <t>+15%</t>
        </is>
      </c>
      <c r="B5" t="n">
        <v>2.374214094227936</v>
      </c>
      <c r="C5" t="n">
        <v>2.713372104796496</v>
      </c>
      <c r="D5" t="n">
        <v>3.052530115365057</v>
      </c>
      <c r="E5" t="n">
        <v>3.391688125933618</v>
      </c>
      <c r="F5" t="n">
        <v>3.730846136502178</v>
      </c>
    </row>
    <row r="6">
      <c r="A6" t="inlineStr">
        <is>
          <t>+30%</t>
        </is>
      </c>
      <c r="B6" t="n">
        <v>2.461423309282017</v>
      </c>
      <c r="C6" t="n">
        <v>2.800581319850577</v>
      </c>
      <c r="D6" t="n">
        <v>3.139739330419138</v>
      </c>
      <c r="E6" t="n">
        <v>3.478897340987699</v>
      </c>
      <c r="F6" t="n">
        <v>3.818055351556259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4"/>
  <sheetViews>
    <sheetView workbookViewId="0">
      <selection activeCell="A1" sqref="A1"/>
    </sheetView>
  </sheetViews>
  <sheetFormatPr baseColWidth="8" defaultRowHeight="15"/>
  <cols>
    <col width="17" customWidth="1" min="1" max="1"/>
    <col width="12" customWidth="1" min="2" max="2"/>
  </cols>
  <sheetData>
    <row r="1">
      <c r="A1" s="1" t="inlineStr">
        <is>
          <t>Dividend payout</t>
        </is>
      </c>
      <c r="B1" s="1" t="inlineStr">
        <is>
          <t>Fair value</t>
        </is>
      </c>
    </row>
    <row r="2">
      <c r="A2" t="n">
        <v>0.8</v>
      </c>
      <c r="B2" t="n">
        <v>2.95</v>
      </c>
    </row>
    <row r="3">
      <c r="A3" t="n">
        <v>0.95</v>
      </c>
      <c r="B3" t="n">
        <v>2.96</v>
      </c>
    </row>
    <row r="4">
      <c r="A4" t="n">
        <v>1</v>
      </c>
      <c r="B4" t="n">
        <v>2.97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2026-08-13T17:10:46Z</dcterms:created>
  <dcterms:modified xsi:type="dcterms:W3CDTF">2026-08-13T17:10:46Z</dcterms:modified>
</cp:coreProperties>
</file>