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TNK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2026-Q2</t>
        </is>
      </c>
    </row>
    <row r="4">
      <c r="A4" s="1" t="inlineStr">
        <is>
          <t>Current price</t>
        </is>
      </c>
      <c r="B4" t="n">
        <v>88.7</v>
      </c>
    </row>
    <row r="5">
      <c r="A5" s="1" t="inlineStr">
        <is>
          <t>Model fair value</t>
        </is>
      </c>
      <c r="B5" t="n">
        <v>83.2252509993266</v>
      </c>
    </row>
    <row r="6">
      <c r="A6" s="1" t="inlineStr">
        <is>
          <t>Analyst target</t>
        </is>
      </c>
      <c r="B6" t="n">
        <v>75</v>
      </c>
    </row>
    <row r="7">
      <c r="A7" s="1" t="inlineStr">
        <is>
          <t>NAV / share</t>
        </is>
      </c>
      <c r="B7" t="n">
        <v>84.60253946986694</v>
      </c>
    </row>
    <row r="8">
      <c r="A8" s="1" t="inlineStr">
        <is>
          <t>DivStrip implied price</t>
        </is>
      </c>
      <c r="B8" t="n">
        <v>80.01157790139916</v>
      </c>
    </row>
    <row r="9">
      <c r="A9" s="1" t="inlineStr">
        <is>
          <t>12M TC cycle input Suezmax ($/day)</t>
        </is>
      </c>
      <c r="B9" t="n">
        <v>58050</v>
      </c>
    </row>
    <row r="10">
      <c r="A10" s="1" t="inlineStr">
        <is>
          <t>12M FFA strip Suezmax ($/day)</t>
        </is>
      </c>
      <c r="B10" t="n">
        <v>88475</v>
      </c>
    </row>
    <row r="11">
      <c r="A11" s="1" t="inlineStr">
        <is>
          <t>Cycle position</t>
        </is>
      </c>
      <c r="B11" t="n">
        <v>1.783129754520905</v>
      </c>
    </row>
    <row r="12">
      <c r="A12" s="1" t="inlineStr">
        <is>
          <t>Cycle band</t>
        </is>
      </c>
      <c r="B12" t="inlineStr">
        <is>
          <t>late-cycle/peak</t>
        </is>
      </c>
    </row>
    <row r="13">
      <c r="A13" s="1" t="inlineStr">
        <is>
          <t>w_nav</t>
        </is>
      </c>
      <c r="B13" t="n">
        <v>0.7</v>
      </c>
    </row>
    <row r="14">
      <c r="A14" s="1" t="inlineStr">
        <is>
          <t>w_earn</t>
        </is>
      </c>
      <c r="B14" t="n">
        <v>0.3</v>
      </c>
    </row>
    <row r="15">
      <c r="A15" s="1" t="inlineStr">
        <is>
          <t>Implied breakeven blended ($/day)</t>
        </is>
      </c>
      <c r="B15" t="n">
        <v>130174.4760889026</v>
      </c>
    </row>
    <row r="16">
      <c r="A16" s="1" t="inlineStr">
        <is>
          <t>Breakeven multiplier (× forward)</t>
        </is>
      </c>
      <c r="B16" t="n">
        <v>1.773317106265051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Suezmax</t>
        </is>
      </c>
      <c r="B2" t="n">
        <v>934.8801494892942</v>
      </c>
    </row>
    <row r="3">
      <c r="A3" t="inlineStr">
        <is>
          <t>Fleet value — Aframax</t>
        </is>
      </c>
      <c r="B3" t="n">
        <v>794.3943948101116</v>
      </c>
    </row>
    <row r="4">
      <c r="A4" t="inlineStr">
        <is>
          <t>+ Cash &amp; equivalents</t>
        </is>
      </c>
      <c r="B4" t="n">
        <v>1211.589</v>
      </c>
    </row>
    <row r="5">
      <c r="A5" t="inlineStr">
        <is>
          <t>+ Working capital (net)</t>
        </is>
      </c>
      <c r="B5" t="n">
        <v>149.762</v>
      </c>
    </row>
    <row r="6">
      <c r="A6" t="inlineStr">
        <is>
          <t>- Total debt</t>
        </is>
      </c>
      <c r="B6" t="n">
        <v>-0</v>
      </c>
    </row>
    <row r="7">
      <c r="A7" t="inlineStr">
        <is>
          <t>- Lease liabilities</t>
        </is>
      </c>
      <c r="B7" t="n">
        <v>-0</v>
      </c>
    </row>
    <row r="8">
      <c r="A8" t="inlineStr">
        <is>
          <t>- Newbuild commitments</t>
        </is>
      </c>
      <c r="B8" t="n">
        <v>-156.6</v>
      </c>
    </row>
    <row r="9">
      <c r="A9" t="inlineStr">
        <is>
          <t>+ Newbuild advances</t>
        </is>
      </c>
      <c r="B9" t="n">
        <v>0</v>
      </c>
    </row>
    <row r="10">
      <c r="A10">
        <f> NAV total</f>
        <v/>
      </c>
      <c r="B10" t="n">
        <v>2934.025544299406</v>
      </c>
    </row>
    <row r="11">
      <c r="A11" t="inlineStr">
        <is>
          <t>Diluted shares</t>
        </is>
      </c>
      <c r="B11" t="n">
        <v>34680112</v>
      </c>
    </row>
    <row r="12">
      <c r="A12" t="inlineStr">
        <is>
          <t>NAV / share</t>
        </is>
      </c>
      <c r="B12" t="n">
        <v>84.60253946986694</v>
      </c>
    </row>
    <row r="13">
      <c r="A13" t="inlineStr">
        <is>
          <t>NAV / share (ex yard discount)</t>
        </is>
      </c>
      <c r="B13" t="n">
        <v>85.82003024458672</v>
      </c>
    </row>
    <row r="14">
      <c r="A14" t="inlineStr">
        <is>
          <t>Yard-discount impact / share</t>
        </is>
      </c>
      <c r="B14" t="n">
        <v>-1.217490774719778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1" customWidth="1" min="3" max="3"/>
    <col width="19" customWidth="1" min="4" max="4"/>
    <col width="20" customWidth="1" min="5" max="5"/>
    <col width="20" customWidth="1" min="6" max="6"/>
  </cols>
  <sheetData>
    <row r="1">
      <c r="A1" s="1" t="inlineStr">
        <is>
          <t>Quarter</t>
        </is>
      </c>
      <c r="B1" s="1" t="inlineStr">
        <is>
          <t>FFA spot Suezmax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118900</v>
      </c>
      <c r="C2" t="n">
        <v>106063.33</v>
      </c>
      <c r="D2" t="n">
        <v>5.759238551164786</v>
      </c>
      <c r="E2" t="n">
        <v>1.689809637791196</v>
      </c>
      <c r="F2" t="n">
        <v>1.646292645545614</v>
      </c>
    </row>
    <row r="3">
      <c r="A3" t="inlineStr">
        <is>
          <t>Q2</t>
        </is>
      </c>
      <c r="B3" t="n">
        <v>118900</v>
      </c>
      <c r="C3" t="n">
        <v>106063.33</v>
      </c>
      <c r="D3" t="n">
        <v>5.759238551164786</v>
      </c>
      <c r="E3" t="n">
        <v>1.689809637791196</v>
      </c>
      <c r="F3" t="n">
        <v>1.603896329009148</v>
      </c>
    </row>
    <row r="4">
      <c r="A4" t="inlineStr">
        <is>
          <t>Q3</t>
        </is>
      </c>
      <c r="B4" t="n">
        <v>58050</v>
      </c>
      <c r="C4" t="n">
        <v>57991.83</v>
      </c>
      <c r="D4" t="n">
        <v>3.508143372662334</v>
      </c>
      <c r="E4" t="n">
        <v>1.127035843165583</v>
      </c>
      <c r="F4" t="n">
        <v>1.042186622007329</v>
      </c>
    </row>
    <row r="5">
      <c r="A5" t="inlineStr">
        <is>
          <t>Q4</t>
        </is>
      </c>
      <c r="B5" t="n">
        <v>58050</v>
      </c>
      <c r="C5" t="n">
        <v>57991.83</v>
      </c>
      <c r="D5" t="n">
        <v>3.508143372662334</v>
      </c>
      <c r="E5" t="n">
        <v>1.127035843165583</v>
      </c>
      <c r="F5" t="n">
        <v>1.015347606455481</v>
      </c>
    </row>
    <row r="6">
      <c r="A6" t="inlineStr">
        <is>
          <t>Q5</t>
        </is>
      </c>
      <c r="B6" t="n">
        <v>26950</v>
      </c>
      <c r="C6" t="n">
        <v>33422.83</v>
      </c>
      <c r="D6" t="n">
        <v>2.014648004174915</v>
      </c>
      <c r="E6" t="n">
        <v>0.7536620010437287</v>
      </c>
      <c r="F6" t="n">
        <v>0.6614894096780063</v>
      </c>
    </row>
    <row r="7">
      <c r="A7" t="inlineStr">
        <is>
          <t>Q6</t>
        </is>
      </c>
      <c r="B7" t="n">
        <v>26950</v>
      </c>
      <c r="C7" t="n">
        <v>33422.83</v>
      </c>
      <c r="D7" t="n">
        <v>2.014648004174915</v>
      </c>
      <c r="E7" t="n">
        <v>0.7536620010437287</v>
      </c>
      <c r="F7" t="n">
        <v>0.6444543372842191</v>
      </c>
    </row>
    <row r="8">
      <c r="A8" t="inlineStr">
        <is>
          <t>Q7</t>
        </is>
      </c>
      <c r="B8" t="n">
        <v>26950</v>
      </c>
      <c r="C8" t="n">
        <v>33422.83</v>
      </c>
      <c r="D8" t="n">
        <v>2.014648004174915</v>
      </c>
      <c r="E8" t="n">
        <v>0.7536620010437287</v>
      </c>
      <c r="F8" t="n">
        <v>0.6278579623014802</v>
      </c>
    </row>
    <row r="9">
      <c r="A9" t="inlineStr">
        <is>
          <t>Q8</t>
        </is>
      </c>
      <c r="B9" t="n">
        <v>26950</v>
      </c>
      <c r="C9" t="n">
        <v>33422.83</v>
      </c>
      <c r="D9" t="n">
        <v>2.014648004174915</v>
      </c>
      <c r="E9" t="n">
        <v>0.7536620010437287</v>
      </c>
      <c r="F9" t="n">
        <v>0.6116889871306944</v>
      </c>
    </row>
    <row r="10">
      <c r="A10" t="inlineStr">
        <is>
          <t>Sum disc. DPS</t>
        </is>
      </c>
      <c r="F10" t="n">
        <v>7.853213899411973</v>
      </c>
    </row>
    <row r="11">
      <c r="A11" t="inlineStr">
        <is>
          <t>Terminal value (q9)</t>
        </is>
      </c>
      <c r="E11" t="n">
        <v>91.25641014540076</v>
      </c>
      <c r="F11" t="n">
        <v>72.1583640019872</v>
      </c>
    </row>
    <row r="12">
      <c r="A12" t="inlineStr">
        <is>
          <t>DivStrip implied price</t>
        </is>
      </c>
      <c r="F12" t="n">
        <v>80.01157790139916</v>
      </c>
    </row>
    <row r="13">
      <c r="A13" t="inlineStr">
        <is>
          <t>12M FFA strip (front 4q)</t>
        </is>
      </c>
      <c r="B13" t="n">
        <v>88475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72.29047805332831</v>
      </c>
      <c r="C2" t="n">
        <v>76.69592972177195</v>
      </c>
      <c r="D2" t="n">
        <v>81.10138139021558</v>
      </c>
      <c r="E2" t="n">
        <v>85.50683305865921</v>
      </c>
      <c r="F2" t="n">
        <v>89.91228472710284</v>
      </c>
    </row>
    <row r="3">
      <c r="A3" t="inlineStr">
        <is>
          <t>-15%</t>
        </is>
      </c>
      <c r="B3" t="n">
        <v>73.35241285788382</v>
      </c>
      <c r="C3" t="n">
        <v>77.75786452632747</v>
      </c>
      <c r="D3" t="n">
        <v>82.1633161947711</v>
      </c>
      <c r="E3" t="n">
        <v>86.56876786321473</v>
      </c>
      <c r="F3" t="n">
        <v>90.97421953165835</v>
      </c>
    </row>
    <row r="4">
      <c r="A4" t="inlineStr">
        <is>
          <t>+0%</t>
        </is>
      </c>
      <c r="B4" t="n">
        <v>74.41434766243933</v>
      </c>
      <c r="C4" t="n">
        <v>78.81979933088297</v>
      </c>
      <c r="D4" t="n">
        <v>83.2252509993266</v>
      </c>
      <c r="E4" t="n">
        <v>87.63070266777024</v>
      </c>
      <c r="F4" t="n">
        <v>92.03615433621387</v>
      </c>
    </row>
    <row r="5">
      <c r="A5" t="inlineStr">
        <is>
          <t>+15%</t>
        </is>
      </c>
      <c r="B5" t="n">
        <v>75.47628246699483</v>
      </c>
      <c r="C5" t="n">
        <v>79.88173413543848</v>
      </c>
      <c r="D5" t="n">
        <v>84.28718580388211</v>
      </c>
      <c r="E5" t="n">
        <v>88.69263747232574</v>
      </c>
      <c r="F5" t="n">
        <v>93.09808914076937</v>
      </c>
    </row>
    <row r="6">
      <c r="A6" t="inlineStr">
        <is>
          <t>+30%</t>
        </is>
      </c>
      <c r="B6" t="n">
        <v>76.53821727155034</v>
      </c>
      <c r="C6" t="n">
        <v>80.94366893999398</v>
      </c>
      <c r="D6" t="n">
        <v>85.34912060843762</v>
      </c>
      <c r="E6" t="n">
        <v>89.75457227688125</v>
      </c>
      <c r="F6" t="n">
        <v>94.16002394532488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83.76000000000001</v>
      </c>
    </row>
    <row r="3">
      <c r="A3" t="n">
        <v>0.95</v>
      </c>
      <c r="B3" t="n">
        <v>83.91</v>
      </c>
    </row>
    <row r="4">
      <c r="A4" t="n">
        <v>1</v>
      </c>
      <c r="B4" t="n">
        <v>83.95999999999999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Data validation warnings</t>
        </is>
      </c>
    </row>
    <row r="2">
      <c r="A2" t="inlineStr">
        <is>
          <t>Aframax FFA forward curve is CONSTRUCTED (no market anchor) — built from the 12M TC + spot, not a Baltic / $MT / Worldscale series. Treat its dividend-strip contribution as indicative.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2026-08-29T21:34:26Z</dcterms:created>
  <dcterms:modified xsi:type="dcterms:W3CDTF">2026-08-29T21:34:26Z</dcterms:modified>
</cp:coreProperties>
</file>