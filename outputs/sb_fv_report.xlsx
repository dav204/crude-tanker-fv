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SB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7.16</v>
      </c>
    </row>
    <row r="5">
      <c r="A5" s="1" t="inlineStr">
        <is>
          <t>Model fair value</t>
        </is>
      </c>
      <c r="B5" t="n">
        <v>9.693107203176782</v>
      </c>
    </row>
    <row r="6">
      <c r="A6" s="1" t="inlineStr">
        <is>
          <t>Analyst target</t>
        </is>
      </c>
      <c r="B6" t="n">
        <v>7.1</v>
      </c>
    </row>
    <row r="7">
      <c r="A7" s="1" t="inlineStr">
        <is>
          <t>NAV / share</t>
        </is>
      </c>
      <c r="B7" t="n">
        <v>10.0191838536759</v>
      </c>
    </row>
    <row r="8">
      <c r="A8" s="1" t="inlineStr">
        <is>
          <t>DivStrip implied price</t>
        </is>
      </c>
      <c r="B8" t="n">
        <v>8.932261685345516</v>
      </c>
    </row>
    <row r="9">
      <c r="A9" s="1" t="inlineStr">
        <is>
          <t>12M TC cycle input Pana ($/day)</t>
        </is>
      </c>
      <c r="B9" t="n">
        <v>19500</v>
      </c>
    </row>
    <row r="10">
      <c r="A10" s="1" t="inlineStr">
        <is>
          <t>12M FFA strip Pana ($/day)</t>
        </is>
      </c>
      <c r="B10" t="n">
        <v>18137.5</v>
      </c>
    </row>
    <row r="11">
      <c r="A11" s="1" t="inlineStr">
        <is>
          <t>Cycle position</t>
        </is>
      </c>
      <c r="B11" t="n">
        <v>1.61531143563127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0</v>
      </c>
    </row>
    <row r="16">
      <c r="A16" s="1" t="inlineStr">
        <is>
          <t>Breakeven multiplier (× forward)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Pana</t>
        </is>
      </c>
      <c r="B2" t="n">
        <v>985.8240201495729</v>
      </c>
    </row>
    <row r="3">
      <c r="A3" t="inlineStr">
        <is>
          <t>Fleet value — Post-Panamax</t>
        </is>
      </c>
      <c r="B3" t="n">
        <v>407.1345176037811</v>
      </c>
    </row>
    <row r="4">
      <c r="A4" t="inlineStr">
        <is>
          <t>Fleet value — Cape</t>
        </is>
      </c>
      <c r="B4" t="n">
        <v>273.1946884576828</v>
      </c>
    </row>
    <row r="5">
      <c r="A5" t="inlineStr">
        <is>
          <t>+ Cash &amp; equivalents</t>
        </is>
      </c>
      <c r="B5" t="n">
        <v>171.775</v>
      </c>
    </row>
    <row r="6">
      <c r="A6" t="inlineStr">
        <is>
          <t>+ Working capital (net)</t>
        </is>
      </c>
      <c r="B6" t="n">
        <v>53.791</v>
      </c>
    </row>
    <row r="7">
      <c r="A7" t="inlineStr">
        <is>
          <t>- Total debt</t>
        </is>
      </c>
      <c r="B7" t="n">
        <v>-544</v>
      </c>
    </row>
    <row r="8">
      <c r="A8" t="inlineStr">
        <is>
          <t>- Lease liabilities</t>
        </is>
      </c>
      <c r="B8" t="n">
        <v>-0</v>
      </c>
    </row>
    <row r="9">
      <c r="A9" t="inlineStr">
        <is>
          <t>- Newbuild commitments</t>
        </is>
      </c>
      <c r="B9" t="n">
        <v>-227.5</v>
      </c>
    </row>
    <row r="10">
      <c r="A10" t="inlineStr">
        <is>
          <t>+ Newbuild advances</t>
        </is>
      </c>
      <c r="B10" t="n">
        <v>0</v>
      </c>
    </row>
    <row r="11">
      <c r="A11">
        <f> NAV total</f>
        <v/>
      </c>
      <c r="B11" t="n">
        <v>1020.219226211037</v>
      </c>
    </row>
    <row r="12">
      <c r="A12" t="inlineStr">
        <is>
          <t>Diluted shares</t>
        </is>
      </c>
      <c r="B12" t="n">
        <v>101826580</v>
      </c>
    </row>
    <row r="13">
      <c r="A13" t="inlineStr">
        <is>
          <t>NAV / share</t>
        </is>
      </c>
      <c r="B13" t="n">
        <v>10.0191838536759</v>
      </c>
    </row>
    <row r="14">
      <c r="A14" t="inlineStr">
        <is>
          <t>NAV / share (ex yard discount)</t>
        </is>
      </c>
      <c r="B14" t="n">
        <v>10.0191838536759</v>
      </c>
    </row>
    <row r="15">
      <c r="A15" t="inlineStr">
        <is>
          <t>Yard-discount impact / share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Pana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19700</v>
      </c>
      <c r="C2" t="n">
        <v>18227</v>
      </c>
      <c r="D2" t="n">
        <v>0.5896478947036716</v>
      </c>
      <c r="E2" t="n">
        <v>0.1768943684111015</v>
      </c>
      <c r="F2" t="n">
        <v>0.1723388784397606</v>
      </c>
    </row>
    <row r="3">
      <c r="A3" t="inlineStr">
        <is>
          <t>Q2</t>
        </is>
      </c>
      <c r="B3" t="n">
        <v>19250</v>
      </c>
      <c r="C3" t="n">
        <v>18047</v>
      </c>
      <c r="D3" t="n">
        <v>0.581237728001618</v>
      </c>
      <c r="E3" t="n">
        <v>0.1743713184004854</v>
      </c>
      <c r="F3" t="n">
        <v>0.1655059310897256</v>
      </c>
    </row>
    <row r="4">
      <c r="A4" t="inlineStr">
        <is>
          <t>Q3</t>
        </is>
      </c>
      <c r="B4" t="n">
        <v>17100</v>
      </c>
      <c r="C4" t="n">
        <v>17187</v>
      </c>
      <c r="D4" t="n">
        <v>0.5155780069592341</v>
      </c>
      <c r="E4" t="n">
        <v>0.1546734020877702</v>
      </c>
      <c r="F4" t="n">
        <v>0.143028770037575</v>
      </c>
    </row>
    <row r="5">
      <c r="A5" t="inlineStr">
        <is>
          <t>Q4</t>
        </is>
      </c>
      <c r="B5" t="n">
        <v>16500</v>
      </c>
      <c r="C5" t="n">
        <v>16947</v>
      </c>
      <c r="D5" t="n">
        <v>0.4998563127807591</v>
      </c>
      <c r="E5" t="n">
        <v>0.1499568938342277</v>
      </c>
      <c r="F5" t="n">
        <v>0.1350963007515565</v>
      </c>
    </row>
    <row r="6">
      <c r="A6" t="inlineStr">
        <is>
          <t>Q5</t>
        </is>
      </c>
      <c r="B6" t="n">
        <v>15900</v>
      </c>
      <c r="C6" t="n">
        <v>16707</v>
      </c>
      <c r="D6" t="n">
        <v>0.4841346186022844</v>
      </c>
      <c r="E6" t="n">
        <v>0.1452403855806853</v>
      </c>
      <c r="F6" t="n">
        <v>0.1274775387191096</v>
      </c>
    </row>
    <row r="7">
      <c r="A7" t="inlineStr">
        <is>
          <t>Q6</t>
        </is>
      </c>
      <c r="B7" t="n">
        <v>15300</v>
      </c>
      <c r="C7" t="n">
        <v>16467</v>
      </c>
      <c r="D7" t="n">
        <v>0.4684129244238094</v>
      </c>
      <c r="E7" t="n">
        <v>0.1405238773271428</v>
      </c>
      <c r="F7" t="n">
        <v>0.1201615871704513</v>
      </c>
    </row>
    <row r="8">
      <c r="A8" t="inlineStr">
        <is>
          <t>Q7</t>
        </is>
      </c>
      <c r="B8" t="n">
        <v>14900</v>
      </c>
      <c r="C8" t="n">
        <v>16307</v>
      </c>
      <c r="D8" t="n">
        <v>0.4589563719205241</v>
      </c>
      <c r="E8" t="n">
        <v>0.1376869115761572</v>
      </c>
      <c r="F8" t="n">
        <v>0.114703704867793</v>
      </c>
    </row>
    <row r="9">
      <c r="A9" t="inlineStr">
        <is>
          <t>Q8</t>
        </is>
      </c>
      <c r="B9" t="n">
        <v>14600</v>
      </c>
      <c r="C9" t="n">
        <v>16187</v>
      </c>
      <c r="D9" t="n">
        <v>0.4510955248312867</v>
      </c>
      <c r="E9" t="n">
        <v>0.135328657449386</v>
      </c>
      <c r="F9" t="n">
        <v>0.1098357742467218</v>
      </c>
    </row>
    <row r="10">
      <c r="A10" t="inlineStr">
        <is>
          <t>Sum disc. DPS</t>
        </is>
      </c>
      <c r="F10" t="n">
        <v>1.088148485322693</v>
      </c>
    </row>
    <row r="11">
      <c r="A11" t="inlineStr">
        <is>
          <t>Terminal value (q9)</t>
        </is>
      </c>
      <c r="E11" t="n">
        <v>9.92020289413049</v>
      </c>
      <c r="F11" t="n">
        <v>7.844113200022823</v>
      </c>
    </row>
    <row r="12">
      <c r="A12" t="inlineStr">
        <is>
          <t>DivStrip implied price</t>
        </is>
      </c>
      <c r="F12" t="n">
        <v>8.932261685345516</v>
      </c>
    </row>
    <row r="13">
      <c r="A13" t="inlineStr">
        <is>
          <t>12M FFA strip (front 4q)</t>
        </is>
      </c>
      <c r="B13" t="n">
        <v>18137.5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6.499649157175892</v>
      </c>
      <c r="C2" t="n">
        <v>7.963603031758694</v>
      </c>
      <c r="D2" t="n">
        <v>9.427556906341497</v>
      </c>
      <c r="E2" t="n">
        <v>10.8915107809243</v>
      </c>
      <c r="F2" t="n">
        <v>12.35546465550711</v>
      </c>
    </row>
    <row r="3">
      <c r="A3" t="inlineStr">
        <is>
          <t>-15%</t>
        </is>
      </c>
      <c r="B3" t="n">
        <v>6.632424305593533</v>
      </c>
      <c r="C3" t="n">
        <v>8.096378180176337</v>
      </c>
      <c r="D3" t="n">
        <v>9.56033205475914</v>
      </c>
      <c r="E3" t="n">
        <v>11.02428592934194</v>
      </c>
      <c r="F3" t="n">
        <v>12.48823980392475</v>
      </c>
    </row>
    <row r="4">
      <c r="A4" t="inlineStr">
        <is>
          <t>+0%</t>
        </is>
      </c>
      <c r="B4" t="n">
        <v>6.765199454011175</v>
      </c>
      <c r="C4" t="n">
        <v>8.229153328593979</v>
      </c>
      <c r="D4" t="n">
        <v>9.693107203176782</v>
      </c>
      <c r="E4" t="n">
        <v>11.15706107775959</v>
      </c>
      <c r="F4" t="n">
        <v>12.62101495234239</v>
      </c>
    </row>
    <row r="5">
      <c r="A5" t="inlineStr">
        <is>
          <t>+15%</t>
        </is>
      </c>
      <c r="B5" t="n">
        <v>6.897974602428818</v>
      </c>
      <c r="C5" t="n">
        <v>8.36192847701162</v>
      </c>
      <c r="D5" t="n">
        <v>9.825882351594423</v>
      </c>
      <c r="E5" t="n">
        <v>11.28983622617723</v>
      </c>
      <c r="F5" t="n">
        <v>12.75379010076003</v>
      </c>
    </row>
    <row r="6">
      <c r="A6" t="inlineStr">
        <is>
          <t>+30%</t>
        </is>
      </c>
      <c r="B6" t="n">
        <v>7.030749750846459</v>
      </c>
      <c r="C6" t="n">
        <v>8.494703625429263</v>
      </c>
      <c r="D6" t="n">
        <v>9.958657500012066</v>
      </c>
      <c r="E6" t="n">
        <v>11.42261137459487</v>
      </c>
      <c r="F6" t="n">
        <v>12.88656524917767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9.76</v>
      </c>
    </row>
    <row r="3">
      <c r="A3" t="n">
        <v>0.95</v>
      </c>
      <c r="B3" t="n">
        <v>9.779999999999999</v>
      </c>
    </row>
    <row r="4">
      <c r="A4" t="n">
        <v>1</v>
      </c>
      <c r="B4" t="n">
        <v>9.779999999999999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2026-07-22T22:00:46Z</dcterms:created>
  <dcterms:modified xsi:type="dcterms:W3CDTF">2026-07-22T22:00:46Z</dcterms:modified>
</cp:coreProperties>
</file>