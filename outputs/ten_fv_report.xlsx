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TEN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40.23</v>
      </c>
    </row>
    <row r="5">
      <c r="A5" s="1" t="inlineStr">
        <is>
          <t>Model fair value</t>
        </is>
      </c>
      <c r="B5" t="n">
        <v>59.78169459542286</v>
      </c>
    </row>
    <row r="6">
      <c r="A6" s="1" t="inlineStr">
        <is>
          <t>Analyst target</t>
        </is>
      </c>
      <c r="B6" t="n">
        <v>51.5</v>
      </c>
    </row>
    <row r="7">
      <c r="A7" s="1" t="inlineStr">
        <is>
          <t>NAV / share</t>
        </is>
      </c>
      <c r="B7" t="n">
        <v>87.56743823636469</v>
      </c>
    </row>
    <row r="8">
      <c r="A8" s="1" t="inlineStr">
        <is>
          <t>DivStrip implied price</t>
        </is>
      </c>
      <c r="B8" t="n">
        <v>56.24549953201392</v>
      </c>
    </row>
    <row r="9">
      <c r="A9" s="1" t="inlineStr">
        <is>
          <t>12M TC cycle input Aframax ($/day)</t>
        </is>
      </c>
      <c r="B9" t="n">
        <v>56250</v>
      </c>
    </row>
    <row r="10">
      <c r="A10" s="1" t="inlineStr">
        <is>
          <t>12M FFA strip Aframax ($/day)</t>
        </is>
      </c>
      <c r="B10" t="n">
        <v>77250</v>
      </c>
    </row>
    <row r="11">
      <c r="A11" s="1" t="inlineStr">
        <is>
          <t>Cycle position</t>
        </is>
      </c>
      <c r="B11" t="n">
        <v>1.753764585739854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0</v>
      </c>
    </row>
    <row r="16">
      <c r="A16" s="1" t="inlineStr">
        <is>
          <t>Breakeven multiplier (× forward)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VLCC</t>
        </is>
      </c>
      <c r="B2" t="n">
        <v>213.5137713642919</v>
      </c>
    </row>
    <row r="3">
      <c r="A3" t="inlineStr">
        <is>
          <t>Fleet value — Suezmax</t>
        </is>
      </c>
      <c r="B3" t="n">
        <v>1015.027243962967</v>
      </c>
    </row>
    <row r="4">
      <c r="A4" t="inlineStr">
        <is>
          <t>Fleet value — Aframax</t>
        </is>
      </c>
      <c r="B4" t="n">
        <v>1425.59148817824</v>
      </c>
    </row>
    <row r="5">
      <c r="A5" t="inlineStr">
        <is>
          <t>Fleet value — LR2</t>
        </is>
      </c>
      <c r="B5" t="n">
        <v>231.326975629037</v>
      </c>
    </row>
    <row r="6">
      <c r="A6" t="inlineStr">
        <is>
          <t>Fleet value — LR1</t>
        </is>
      </c>
      <c r="B6" t="n">
        <v>250.6446666666667</v>
      </c>
    </row>
    <row r="7">
      <c r="A7" t="inlineStr">
        <is>
          <t>Fleet value — MR</t>
        </is>
      </c>
      <c r="B7" t="n">
        <v>109.457202444347</v>
      </c>
    </row>
    <row r="8">
      <c r="A8" t="inlineStr">
        <is>
          <t>Fleet value — Handysize</t>
        </is>
      </c>
      <c r="B8" t="n">
        <v>26.91666666666666</v>
      </c>
    </row>
    <row r="9">
      <c r="A9" t="inlineStr">
        <is>
          <t>Fleet value — LNGC</t>
        </is>
      </c>
      <c r="B9" t="n">
        <v>443.2</v>
      </c>
    </row>
    <row r="10">
      <c r="A10" t="inlineStr">
        <is>
          <t>+ Cash &amp; equivalents</t>
        </is>
      </c>
      <c r="B10" t="n">
        <v>321.416</v>
      </c>
    </row>
    <row r="11">
      <c r="A11" t="inlineStr">
        <is>
          <t>+ Working capital (net)</t>
        </is>
      </c>
      <c r="B11" t="n">
        <v>174.654</v>
      </c>
    </row>
    <row r="12">
      <c r="A12" t="inlineStr">
        <is>
          <t>- Total debt</t>
        </is>
      </c>
      <c r="B12" t="n">
        <v>-2136.109</v>
      </c>
    </row>
    <row r="13">
      <c r="A13" t="inlineStr">
        <is>
          <t>- Lease liabilities</t>
        </is>
      </c>
      <c r="B13" t="n">
        <v>-0</v>
      </c>
    </row>
    <row r="14">
      <c r="A14" t="inlineStr">
        <is>
          <t>- Newbuild commitments</t>
        </is>
      </c>
      <c r="B14" t="n">
        <v>-0</v>
      </c>
    </row>
    <row r="15">
      <c r="A15" t="inlineStr">
        <is>
          <t>+ Newbuild advances</t>
        </is>
      </c>
      <c r="B15" t="n">
        <v>442.74</v>
      </c>
    </row>
    <row r="16">
      <c r="A16">
        <f> NAV total</f>
        <v/>
      </c>
      <c r="B16" t="n">
        <v>2638.197014912216</v>
      </c>
    </row>
    <row r="17">
      <c r="A17" t="inlineStr">
        <is>
          <t>Diluted shares</t>
        </is>
      </c>
      <c r="B17" t="n">
        <v>30127603</v>
      </c>
    </row>
    <row r="18">
      <c r="A18" t="inlineStr">
        <is>
          <t>NAV / share</t>
        </is>
      </c>
      <c r="B18" t="n">
        <v>87.56743823636469</v>
      </c>
    </row>
    <row r="19">
      <c r="A19" t="inlineStr">
        <is>
          <t>NAV / share (ex yard discount)</t>
        </is>
      </c>
      <c r="B19" t="n">
        <v>87.56743823636469</v>
      </c>
    </row>
    <row r="20">
      <c r="A20" t="inlineStr">
        <is>
          <t>Yard-discount impact / share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Quarter</t>
        </is>
      </c>
      <c r="B1" s="1" t="inlineStr">
        <is>
          <t>FFA spot Aframax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75000</v>
      </c>
      <c r="C2" t="n">
        <v>34799.33988235294</v>
      </c>
      <c r="D2" t="n">
        <v>4.336428472000167</v>
      </c>
      <c r="E2" t="n">
        <v>1.198921409680032</v>
      </c>
      <c r="F2" t="n">
        <v>1.168046065782534</v>
      </c>
    </row>
    <row r="3">
      <c r="A3" t="inlineStr">
        <is>
          <t>Q2</t>
        </is>
      </c>
      <c r="B3" t="n">
        <v>88000</v>
      </c>
      <c r="C3" t="n">
        <v>36658.33988235294</v>
      </c>
      <c r="D3" t="n">
        <v>4.758056518546054</v>
      </c>
      <c r="E3" t="n">
        <v>1.27903073852375</v>
      </c>
      <c r="F3" t="n">
        <v>1.214002252283041</v>
      </c>
    </row>
    <row r="4">
      <c r="A4" t="inlineStr">
        <is>
          <t>Q3</t>
        </is>
      </c>
      <c r="B4" t="n">
        <v>82000</v>
      </c>
      <c r="C4" t="n">
        <v>35800.33988235294</v>
      </c>
      <c r="D4" t="n">
        <v>4.579904658937441</v>
      </c>
      <c r="E4" t="n">
        <v>1.245181885198114</v>
      </c>
      <c r="F4" t="n">
        <v>1.151438004912397</v>
      </c>
    </row>
    <row r="5">
      <c r="A5" t="inlineStr">
        <is>
          <t>Q4</t>
        </is>
      </c>
      <c r="B5" t="n">
        <v>64000</v>
      </c>
      <c r="C5" t="n">
        <v>33226.33988235294</v>
      </c>
      <c r="D5" t="n">
        <v>4.00684159530772</v>
      </c>
      <c r="E5" t="n">
        <v>1.136299903108467</v>
      </c>
      <c r="F5" t="n">
        <v>1.023693606404024</v>
      </c>
    </row>
    <row r="6">
      <c r="A6" t="inlineStr">
        <is>
          <t>Q5</t>
        </is>
      </c>
      <c r="B6" t="n">
        <v>59000</v>
      </c>
      <c r="C6" t="n">
        <v>32511.33988235294</v>
      </c>
      <c r="D6" t="n">
        <v>3.852435401758236</v>
      </c>
      <c r="E6" t="n">
        <v>1.106962726334065</v>
      </c>
      <c r="F6" t="n">
        <v>0.9715815834740367</v>
      </c>
    </row>
    <row r="7">
      <c r="A7" t="inlineStr">
        <is>
          <t>Q6</t>
        </is>
      </c>
      <c r="B7" t="n">
        <v>70000</v>
      </c>
      <c r="C7" t="n">
        <v>34084.33988235294</v>
      </c>
      <c r="D7" t="n">
        <v>4.217664523205436</v>
      </c>
      <c r="E7" t="n">
        <v>1.176356259409033</v>
      </c>
      <c r="F7" t="n">
        <v>1.005899053578004</v>
      </c>
    </row>
    <row r="8">
      <c r="A8" t="inlineStr">
        <is>
          <t>Q7</t>
        </is>
      </c>
      <c r="B8" t="n">
        <v>74000</v>
      </c>
      <c r="C8" t="n">
        <v>34656.33988235294</v>
      </c>
      <c r="D8" t="n">
        <v>4.339393712049301</v>
      </c>
      <c r="E8" t="n">
        <v>1.199484805289367</v>
      </c>
      <c r="F8" t="n">
        <v>0.9992623810376681</v>
      </c>
    </row>
    <row r="9">
      <c r="A9" t="inlineStr">
        <is>
          <t>Q8</t>
        </is>
      </c>
      <c r="B9" t="n">
        <v>56000</v>
      </c>
      <c r="C9" t="n">
        <v>32082.33988235294</v>
      </c>
      <c r="D9" t="n">
        <v>3.769295888468712</v>
      </c>
      <c r="E9" t="n">
        <v>1.091166218809055</v>
      </c>
      <c r="F9" t="n">
        <v>0.8856149815835201</v>
      </c>
    </row>
    <row r="10">
      <c r="A10" t="inlineStr">
        <is>
          <t>Sum disc. DPS</t>
        </is>
      </c>
      <c r="F10" t="n">
        <v>8.419537929055226</v>
      </c>
    </row>
    <row r="11">
      <c r="A11" t="inlineStr">
        <is>
          <t>Terminal value (q9)</t>
        </is>
      </c>
      <c r="E11" t="n">
        <v>60.4839872411408</v>
      </c>
      <c r="F11" t="n">
        <v>47.8259616029587</v>
      </c>
    </row>
    <row r="12">
      <c r="A12" t="inlineStr">
        <is>
          <t>DivStrip implied price</t>
        </is>
      </c>
      <c r="F12" t="n">
        <v>56.24549953201392</v>
      </c>
    </row>
    <row r="13">
      <c r="A13" t="inlineStr">
        <is>
          <t>12M FFA strip (front 4q)</t>
        </is>
      </c>
      <c r="B13" t="n">
        <v>77250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9" customWidth="1" min="5" max="5"/>
    <col width="19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43.52745523956384</v>
      </c>
      <c r="C2" t="n">
        <v>51.19372777022006</v>
      </c>
      <c r="D2" t="n">
        <v>58.86000030087629</v>
      </c>
      <c r="E2" t="n">
        <v>66.52627283153257</v>
      </c>
      <c r="F2" t="n">
        <v>74.19254536218881</v>
      </c>
    </row>
    <row r="3">
      <c r="A3" t="inlineStr">
        <is>
          <t>-15%</t>
        </is>
      </c>
      <c r="B3" t="n">
        <v>43.98830238683713</v>
      </c>
      <c r="C3" t="n">
        <v>51.65457491749335</v>
      </c>
      <c r="D3" t="n">
        <v>59.32084744814958</v>
      </c>
      <c r="E3" t="n">
        <v>66.98711997880585</v>
      </c>
      <c r="F3" t="n">
        <v>74.65339250946209</v>
      </c>
    </row>
    <row r="4">
      <c r="A4" t="inlineStr">
        <is>
          <t>+0%</t>
        </is>
      </c>
      <c r="B4" t="n">
        <v>44.44914953411042</v>
      </c>
      <c r="C4" t="n">
        <v>52.11542206476664</v>
      </c>
      <c r="D4" t="n">
        <v>59.78169459542286</v>
      </c>
      <c r="E4" t="n">
        <v>67.44796712607913</v>
      </c>
      <c r="F4" t="n">
        <v>75.11423965673538</v>
      </c>
    </row>
    <row r="5">
      <c r="A5" t="inlineStr">
        <is>
          <t>+15%</t>
        </is>
      </c>
      <c r="B5" t="n">
        <v>44.9099966813837</v>
      </c>
      <c r="C5" t="n">
        <v>52.57626921203993</v>
      </c>
      <c r="D5" t="n">
        <v>60.24254174269615</v>
      </c>
      <c r="E5" t="n">
        <v>67.90881427335242</v>
      </c>
      <c r="F5" t="n">
        <v>75.57508680400868</v>
      </c>
    </row>
    <row r="6">
      <c r="A6" t="inlineStr">
        <is>
          <t>+30%</t>
        </is>
      </c>
      <c r="B6" t="n">
        <v>45.37084382865699</v>
      </c>
      <c r="C6" t="n">
        <v>53.03711635931322</v>
      </c>
      <c r="D6" t="n">
        <v>60.70338888996945</v>
      </c>
      <c r="E6" t="n">
        <v>68.36966142062572</v>
      </c>
      <c r="F6" t="n">
        <v>76.03593395128196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61.89</v>
      </c>
    </row>
    <row r="3">
      <c r="A3" t="n">
        <v>0.95</v>
      </c>
      <c r="B3" t="n">
        <v>62.41</v>
      </c>
    </row>
    <row r="4">
      <c r="A4" t="n">
        <v>1</v>
      </c>
      <c r="B4" t="n">
        <v>62.58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spot TCE VLCC: $285,500/day is 7.1x the 10-yr mean ($40,000) — unsustainable as a level. Confirm it is a genuine cycle spike (not a unit/source error) and do not anchor valuation to it.</t>
        </is>
      </c>
    </row>
    <row r="3">
      <c r="A3" t="inlineStr">
        <is>
          <t>Aframax/LR2 FFA forward curve is CONSTRUCTED (no market anchor) — built from the 12M TC + spot, not a Baltic / $MT / Worldscale series. Treat its dividend-strip contribution as indicative.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2026-07-31T18:05:28Z</dcterms:created>
  <dcterms:modified xsi:type="dcterms:W3CDTF">2026-07-31T18:05:28Z</dcterms:modified>
</cp:coreProperties>
</file>