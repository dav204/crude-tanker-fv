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4" customWidth="1" min="2" max="2"/>
  </cols>
  <sheetData>
    <row r="1">
      <c r="A1" s="1" t="inlineStr">
        <is>
          <t>Ticker</t>
        </is>
      </c>
      <c r="B1" t="inlineStr">
        <is>
          <t>TEN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44</v>
      </c>
    </row>
    <row r="5">
      <c r="A5" s="1" t="inlineStr">
        <is>
          <t>Model fair value</t>
        </is>
      </c>
      <c r="B5" t="n">
        <v>53.31282452178361</v>
      </c>
    </row>
    <row r="6">
      <c r="A6" s="1" t="inlineStr">
        <is>
          <t>Analyst target</t>
        </is>
      </c>
      <c r="B6" t="n">
        <v>51.5</v>
      </c>
    </row>
    <row r="7">
      <c r="A7" s="1" t="inlineStr">
        <is>
          <t>NAV / share</t>
        </is>
      </c>
      <c r="B7" t="n">
        <v>80.77839032504596</v>
      </c>
    </row>
    <row r="8">
      <c r="A8" s="1" t="inlineStr">
        <is>
          <t>DivStrip implied price</t>
        </is>
      </c>
      <c r="B8" t="n">
        <v>45.77137754170364</v>
      </c>
    </row>
    <row r="9">
      <c r="A9" s="1" t="inlineStr">
        <is>
          <t>12M TC cycle input Aframax ($/day)</t>
        </is>
      </c>
      <c r="B9" t="n">
        <v>56250</v>
      </c>
    </row>
    <row r="10">
      <c r="A10" s="1" t="inlineStr">
        <is>
          <t>12M FFA strip Aframax ($/day)</t>
        </is>
      </c>
      <c r="B10" t="n">
        <v>77250</v>
      </c>
    </row>
    <row r="11">
      <c r="A11" s="1" t="inlineStr">
        <is>
          <t>Cycle position</t>
        </is>
      </c>
      <c r="B11" t="n">
        <v>1.956455939607926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1.619339098466204e-24</v>
      </c>
    </row>
    <row r="16">
      <c r="A16" s="1" t="inlineStr">
        <is>
          <t>Breakeven multiplier (× forward)</t>
        </is>
      </c>
      <c r="B16" t="n">
        <v>1.97215226305253e-29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310.3194031417837</v>
      </c>
    </row>
    <row r="3">
      <c r="A3" t="inlineStr">
        <is>
          <t>Fleet value — Suezmax</t>
        </is>
      </c>
      <c r="B3" t="n">
        <v>838.4737019144443</v>
      </c>
    </row>
    <row r="4">
      <c r="A4" t="inlineStr">
        <is>
          <t>Fleet value — Aframax</t>
        </is>
      </c>
      <c r="B4" t="n">
        <v>1467.244488186022</v>
      </c>
    </row>
    <row r="5">
      <c r="A5" t="inlineStr">
        <is>
          <t>Fleet value — LR2</t>
        </is>
      </c>
      <c r="B5" t="n">
        <v>231.07899636618</v>
      </c>
    </row>
    <row r="6">
      <c r="A6" t="inlineStr">
        <is>
          <t>Fleet value — LR1</t>
        </is>
      </c>
      <c r="B6" t="n">
        <v>250.6446666666667</v>
      </c>
    </row>
    <row r="7">
      <c r="A7" t="inlineStr">
        <is>
          <t>Fleet value — MR</t>
        </is>
      </c>
      <c r="B7" t="n">
        <v>98.79335175026156</v>
      </c>
    </row>
    <row r="8">
      <c r="A8" t="inlineStr">
        <is>
          <t>Fleet value — Handysize</t>
        </is>
      </c>
      <c r="B8" t="n">
        <v>26.91666666666666</v>
      </c>
    </row>
    <row r="9">
      <c r="A9" t="inlineStr">
        <is>
          <t>Fleet value — LNGC</t>
        </is>
      </c>
      <c r="B9" t="n">
        <v>443.2</v>
      </c>
    </row>
    <row r="10">
      <c r="A10" t="inlineStr">
        <is>
          <t>+ Cash &amp; equivalents</t>
        </is>
      </c>
      <c r="B10" t="n">
        <v>321.416</v>
      </c>
    </row>
    <row r="11">
      <c r="A11" t="inlineStr">
        <is>
          <t>+ Working capital (net)</t>
        </is>
      </c>
      <c r="B11" t="n">
        <v>28</v>
      </c>
    </row>
    <row r="12">
      <c r="A12" t="inlineStr">
        <is>
          <t>- Total debt</t>
        </is>
      </c>
      <c r="B12" t="n">
        <v>-2148.2</v>
      </c>
    </row>
    <row r="13">
      <c r="A13" t="inlineStr">
        <is>
          <t>- Lease liabilities</t>
        </is>
      </c>
      <c r="B13" t="n">
        <v>-0</v>
      </c>
    </row>
    <row r="14">
      <c r="A14" t="inlineStr">
        <is>
          <t>- Newbuild commitments</t>
        </is>
      </c>
      <c r="B14" t="n">
        <v>-0</v>
      </c>
    </row>
    <row r="15">
      <c r="A15" t="inlineStr">
        <is>
          <t>+ Newbuild advances</t>
        </is>
      </c>
      <c r="B15" t="n">
        <v>400</v>
      </c>
    </row>
    <row r="16">
      <c r="A16">
        <f> NAV total</f>
        <v/>
      </c>
      <c r="B16" t="n">
        <v>2433.659274692026</v>
      </c>
    </row>
    <row r="17">
      <c r="A17" t="inlineStr">
        <is>
          <t>Diluted shares</t>
        </is>
      </c>
      <c r="B17" t="n">
        <v>30127603</v>
      </c>
    </row>
    <row r="18">
      <c r="A18" t="inlineStr">
        <is>
          <t>NAV / share</t>
        </is>
      </c>
      <c r="B18" t="n">
        <v>80.77839032504596</v>
      </c>
    </row>
    <row r="19">
      <c r="A19" t="inlineStr">
        <is>
          <t>NAV / share (ex yard discount)</t>
        </is>
      </c>
      <c r="B19" t="n">
        <v>80.77839032504596</v>
      </c>
    </row>
    <row r="20">
      <c r="A20" t="inlineStr">
        <is>
          <t>Yard-discount impact / share</t>
        </is>
      </c>
      <c r="B20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Aframax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36628.77482352941</v>
      </c>
      <c r="D2" t="n">
        <v>4.880244487640473</v>
      </c>
      <c r="E2" t="n">
        <v>1.30224645265169</v>
      </c>
      <c r="F2" t="n">
        <v>1.268710220217867</v>
      </c>
    </row>
    <row r="3">
      <c r="A3" t="inlineStr">
        <is>
          <t>Q2</t>
        </is>
      </c>
      <c r="B3" t="n">
        <v>88000</v>
      </c>
      <c r="C3" t="n">
        <v>38994.77482352941</v>
      </c>
      <c r="D3" t="n">
        <v>5.34049782823979</v>
      </c>
      <c r="E3" t="n">
        <v>1.38969458736556</v>
      </c>
      <c r="F3" t="n">
        <v>1.319039729251991</v>
      </c>
    </row>
    <row r="4">
      <c r="A4" t="inlineStr">
        <is>
          <t>Q3</t>
        </is>
      </c>
      <c r="B4" t="n">
        <v>82000</v>
      </c>
      <c r="C4" t="n">
        <v>37902.77482352941</v>
      </c>
      <c r="D4" t="n">
        <v>5.144518909837286</v>
      </c>
      <c r="E4" t="n">
        <v>1.352458592869084</v>
      </c>
      <c r="F4" t="n">
        <v>1.250638354453765</v>
      </c>
    </row>
    <row r="5">
      <c r="A5" t="inlineStr">
        <is>
          <t>Q4</t>
        </is>
      </c>
      <c r="B5" t="n">
        <v>64000</v>
      </c>
      <c r="C5" t="n">
        <v>34626.77482352941</v>
      </c>
      <c r="D5" t="n">
        <v>4.517974669825893</v>
      </c>
      <c r="E5" t="n">
        <v>1.23341518726692</v>
      </c>
      <c r="F5" t="n">
        <v>1.111184853393621</v>
      </c>
    </row>
    <row r="6">
      <c r="A6" t="inlineStr">
        <is>
          <t>Q5</t>
        </is>
      </c>
      <c r="B6" t="n">
        <v>59000</v>
      </c>
      <c r="C6" t="n">
        <v>33716.77482352941</v>
      </c>
      <c r="D6" t="n">
        <v>4.348712593948167</v>
      </c>
      <c r="E6" t="n">
        <v>1.201255392850152</v>
      </c>
      <c r="F6" t="n">
        <v>1.054342290826022</v>
      </c>
    </row>
    <row r="7">
      <c r="A7" t="inlineStr">
        <is>
          <t>Q6</t>
        </is>
      </c>
      <c r="B7" t="n">
        <v>70000</v>
      </c>
      <c r="C7" t="n">
        <v>35718.77482352941</v>
      </c>
      <c r="D7" t="n">
        <v>4.7466246565175</v>
      </c>
      <c r="E7" t="n">
        <v>1.276858684738325</v>
      </c>
      <c r="F7" t="n">
        <v>1.091838405464325</v>
      </c>
    </row>
    <row r="8">
      <c r="A8" t="inlineStr">
        <is>
          <t>Q7</t>
        </is>
      </c>
      <c r="B8" t="n">
        <v>74000</v>
      </c>
      <c r="C8" t="n">
        <v>36446.77482352941</v>
      </c>
      <c r="D8" t="n">
        <v>4.880238551223958</v>
      </c>
      <c r="E8" t="n">
        <v>1.302245324732552</v>
      </c>
      <c r="F8" t="n">
        <v>1.08486973586422</v>
      </c>
    </row>
    <row r="9">
      <c r="A9" t="inlineStr">
        <is>
          <t>Q8</t>
        </is>
      </c>
      <c r="B9" t="n">
        <v>56000</v>
      </c>
      <c r="C9" t="n">
        <v>33170.77482352941</v>
      </c>
      <c r="D9" t="n">
        <v>4.256659551261698</v>
      </c>
      <c r="E9" t="n">
        <v>1.183765314739722</v>
      </c>
      <c r="F9" t="n">
        <v>0.9607704851389678</v>
      </c>
    </row>
    <row r="10">
      <c r="A10" t="inlineStr">
        <is>
          <t>Sum disc. DPS</t>
        </is>
      </c>
      <c r="F10" t="n">
        <v>9.141394074610778</v>
      </c>
    </row>
    <row r="11">
      <c r="A11" t="inlineStr">
        <is>
          <t>Terminal value (q9)</t>
        </is>
      </c>
      <c r="E11" t="n">
        <v>46.32478633800815</v>
      </c>
      <c r="F11" t="n">
        <v>36.62998346709286</v>
      </c>
    </row>
    <row r="12">
      <c r="A12" t="inlineStr">
        <is>
          <t>DivStrip implied price</t>
        </is>
      </c>
      <c r="F12" t="n">
        <v>45.77137754170364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37.54928866420648</v>
      </c>
      <c r="C2" t="n">
        <v>45.29130649868561</v>
      </c>
      <c r="D2" t="n">
        <v>53.03332433316479</v>
      </c>
      <c r="E2" t="n">
        <v>60.77534216764396</v>
      </c>
      <c r="F2" t="n">
        <v>68.51736000212308</v>
      </c>
    </row>
    <row r="3">
      <c r="A3" t="inlineStr">
        <is>
          <t>-15%</t>
        </is>
      </c>
      <c r="B3" t="n">
        <v>37.68903875851589</v>
      </c>
      <c r="C3" t="n">
        <v>45.43105659299502</v>
      </c>
      <c r="D3" t="n">
        <v>53.17307442747421</v>
      </c>
      <c r="E3" t="n">
        <v>60.91509226195336</v>
      </c>
      <c r="F3" t="n">
        <v>68.65711009643249</v>
      </c>
    </row>
    <row r="4">
      <c r="A4" t="inlineStr">
        <is>
          <t>+0%</t>
        </is>
      </c>
      <c r="B4" t="n">
        <v>37.8287888528253</v>
      </c>
      <c r="C4" t="n">
        <v>45.57080668730443</v>
      </c>
      <c r="D4" t="n">
        <v>53.31282452178361</v>
      </c>
      <c r="E4" t="n">
        <v>61.05484235626278</v>
      </c>
      <c r="F4" t="n">
        <v>68.79686019074191</v>
      </c>
    </row>
    <row r="5">
      <c r="A5" t="inlineStr">
        <is>
          <t>+15%</t>
        </is>
      </c>
      <c r="B5" t="n">
        <v>37.96853894713472</v>
      </c>
      <c r="C5" t="n">
        <v>45.71055678161384</v>
      </c>
      <c r="D5" t="n">
        <v>53.45257461609302</v>
      </c>
      <c r="E5" t="n">
        <v>61.19459245057219</v>
      </c>
      <c r="F5" t="n">
        <v>68.93661028505132</v>
      </c>
    </row>
    <row r="6">
      <c r="A6" t="inlineStr">
        <is>
          <t>+30%</t>
        </is>
      </c>
      <c r="B6" t="n">
        <v>38.10828904144413</v>
      </c>
      <c r="C6" t="n">
        <v>45.85030687592325</v>
      </c>
      <c r="D6" t="n">
        <v>53.59232471040244</v>
      </c>
      <c r="E6" t="n">
        <v>61.3343425448816</v>
      </c>
      <c r="F6" t="n">
        <v>69.07636037936074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59.54</v>
      </c>
    </row>
    <row r="3">
      <c r="A3" t="n">
        <v>0.95</v>
      </c>
      <c r="B3" t="n">
        <v>61.08</v>
      </c>
    </row>
    <row r="4">
      <c r="A4" t="n">
        <v>1</v>
      </c>
      <c r="B4" t="n">
        <v>61.59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2026-06-10T12:59:11Z</dcterms:created>
  <dcterms:modified xsi:type="dcterms:W3CDTF">2026-06-10T12:59:11Z</dcterms:modified>
</cp:coreProperties>
</file>