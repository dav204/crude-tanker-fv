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MPCC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2.61</v>
      </c>
    </row>
    <row r="5">
      <c r="A5" s="1" t="inlineStr">
        <is>
          <t>Model fair value</t>
        </is>
      </c>
      <c r="B5" t="n">
        <v>2.189469675646569</v>
      </c>
    </row>
    <row r="6">
      <c r="A6" s="1" t="inlineStr">
        <is>
          <t>Analyst target</t>
        </is>
      </c>
      <c r="B6" t="n">
        <v>2.63</v>
      </c>
    </row>
    <row r="7">
      <c r="A7" s="1" t="inlineStr">
        <is>
          <t>NAV / share</t>
        </is>
      </c>
      <c r="B7" t="n">
        <v>2.022576910159237</v>
      </c>
    </row>
    <row r="8">
      <c r="A8" s="1" t="inlineStr">
        <is>
          <t>DivStrip implied price</t>
        </is>
      </c>
      <c r="B8" t="n">
        <v>2.439808823877566</v>
      </c>
    </row>
    <row r="9">
      <c r="A9" s="1" t="inlineStr">
        <is>
          <t>12M TC cycle input Ctr-Intermediate ($/day)</t>
        </is>
      </c>
      <c r="B9" t="n">
        <v>43400</v>
      </c>
    </row>
    <row r="10">
      <c r="A10" s="1" t="inlineStr">
        <is>
          <t>12M FFA strip Ctr-Intermediate ($/day)</t>
        </is>
      </c>
      <c r="B10" t="n">
        <v>42481.25</v>
      </c>
    </row>
    <row r="11">
      <c r="A11" s="1" t="inlineStr">
        <is>
          <t>Cycle position</t>
        </is>
      </c>
      <c r="B11" t="n">
        <v>1.20572655796614</v>
      </c>
    </row>
    <row r="12">
      <c r="A12" s="1" t="inlineStr">
        <is>
          <t>Cycle band</t>
        </is>
      </c>
      <c r="B12" t="inlineStr">
        <is>
          <t>elevated</t>
        </is>
      </c>
    </row>
    <row r="13">
      <c r="A13" s="1" t="inlineStr">
        <is>
          <t>w_nav</t>
        </is>
      </c>
      <c r="B13" t="n">
        <v>0.6</v>
      </c>
    </row>
    <row r="14">
      <c r="A14" s="1" t="inlineStr">
        <is>
          <t>w_earn</t>
        </is>
      </c>
      <c r="B14" t="n">
        <v>0.4</v>
      </c>
    </row>
    <row r="15">
      <c r="A15" s="1" t="inlineStr">
        <is>
          <t>Implied breakeven blended ($/day)</t>
        </is>
      </c>
      <c r="B15" t="n">
        <v>155119.30428119</v>
      </c>
    </row>
    <row r="16">
      <c r="A16" s="1" t="inlineStr">
        <is>
          <t>Breakeven multiplier (× forward)</t>
        </is>
      </c>
      <c r="B16" t="n">
        <v>4.287566816543524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Ctr-Feeder</t>
        </is>
      </c>
      <c r="B2" t="n">
        <v>432.5857149969322</v>
      </c>
    </row>
    <row r="3">
      <c r="A3" t="inlineStr">
        <is>
          <t>Fleet value — Ctr-Intermediate</t>
        </is>
      </c>
      <c r="B3" t="n">
        <v>1093.332224339679</v>
      </c>
    </row>
    <row r="4">
      <c r="A4" t="inlineStr">
        <is>
          <t>+ Cash &amp; equivalents</t>
        </is>
      </c>
      <c r="B4" t="n">
        <v>269.3</v>
      </c>
    </row>
    <row r="5">
      <c r="A5" t="inlineStr">
        <is>
          <t>+ Working capital (net)</t>
        </is>
      </c>
      <c r="B5" t="n">
        <v>85.90000000000001</v>
      </c>
    </row>
    <row r="6">
      <c r="A6" t="inlineStr">
        <is>
          <t>- Total debt</t>
        </is>
      </c>
      <c r="B6" t="n">
        <v>-462.9</v>
      </c>
    </row>
    <row r="7">
      <c r="A7" t="inlineStr">
        <is>
          <t>- Lease liabilities</t>
        </is>
      </c>
      <c r="B7" t="n">
        <v>-0</v>
      </c>
    </row>
    <row r="8">
      <c r="A8" t="inlineStr">
        <is>
          <t>- Newbuild commitments</t>
        </is>
      </c>
      <c r="B8" t="n">
        <v>-633.7</v>
      </c>
    </row>
    <row r="9">
      <c r="A9" t="inlineStr">
        <is>
          <t>+ Newbuild advances</t>
        </is>
      </c>
      <c r="B9" t="n">
        <v>112.9</v>
      </c>
    </row>
    <row r="10">
      <c r="A10">
        <f> NAV total</f>
        <v/>
      </c>
      <c r="B10" t="n">
        <v>897.4179393366113</v>
      </c>
    </row>
    <row r="11">
      <c r="A11" t="inlineStr">
        <is>
          <t>Diluted shares</t>
        </is>
      </c>
      <c r="B11" t="n">
        <v>443700279</v>
      </c>
    </row>
    <row r="12">
      <c r="A12" t="inlineStr">
        <is>
          <t>NAV / share</t>
        </is>
      </c>
      <c r="B12" t="n">
        <v>2.022576910159237</v>
      </c>
    </row>
    <row r="13">
      <c r="A13" t="inlineStr">
        <is>
          <t>NAV / share (ex yard discount)</t>
        </is>
      </c>
      <c r="B13" t="n">
        <v>2.022576910159237</v>
      </c>
    </row>
    <row r="14">
      <c r="A14" t="inlineStr">
        <is>
          <t>Yard-discount impact / share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Ctr-Intermediate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43375</v>
      </c>
      <c r="C2" t="n">
        <v>26404.2380952381</v>
      </c>
      <c r="D2" t="n">
        <v>0.1285357879267489</v>
      </c>
      <c r="E2" t="n">
        <v>0.06426789396337446</v>
      </c>
      <c r="F2" t="n">
        <v>0.06261282857571353</v>
      </c>
    </row>
    <row r="3">
      <c r="A3" t="inlineStr">
        <is>
          <t>Q2</t>
        </is>
      </c>
      <c r="B3" t="n">
        <v>42875</v>
      </c>
      <c r="C3" t="n">
        <v>26404.2380952381</v>
      </c>
      <c r="D3" t="n">
        <v>0.1312469405351294</v>
      </c>
      <c r="E3" t="n">
        <v>0.0656234702675647</v>
      </c>
      <c r="F3" t="n">
        <v>0.06228704151348542</v>
      </c>
    </row>
    <row r="4">
      <c r="A4" t="inlineStr">
        <is>
          <t>Q3</t>
        </is>
      </c>
      <c r="B4" t="n">
        <v>42350</v>
      </c>
      <c r="C4" t="n">
        <v>26946.394</v>
      </c>
      <c r="D4" t="n">
        <v>0.1343667910479272</v>
      </c>
      <c r="E4" t="n">
        <v>0.0671833955239636</v>
      </c>
      <c r="F4" t="n">
        <v>0.06212547405718579</v>
      </c>
    </row>
    <row r="5">
      <c r="A5" t="inlineStr">
        <is>
          <t>Q4</t>
        </is>
      </c>
      <c r="B5" t="n">
        <v>41325</v>
      </c>
      <c r="C5" t="n">
        <v>28463.30323809524</v>
      </c>
      <c r="D5" t="n">
        <v>0.1429837657115454</v>
      </c>
      <c r="E5" t="n">
        <v>0.0714918828557727</v>
      </c>
      <c r="F5" t="n">
        <v>0.06440710167186729</v>
      </c>
    </row>
    <row r="6">
      <c r="A6" t="inlineStr">
        <is>
          <t>Q5</t>
        </is>
      </c>
      <c r="B6" t="n">
        <v>40800</v>
      </c>
      <c r="C6" t="n">
        <v>28808.33033333334</v>
      </c>
      <c r="D6" t="n">
        <v>0.1516328504046028</v>
      </c>
      <c r="E6" t="n">
        <v>0.07581642520230139</v>
      </c>
      <c r="F6" t="n">
        <v>0.06654410369835957</v>
      </c>
    </row>
    <row r="7">
      <c r="A7" t="inlineStr">
        <is>
          <t>Q6</t>
        </is>
      </c>
      <c r="B7" t="n">
        <v>39775</v>
      </c>
      <c r="C7" t="n">
        <v>29426.03028571429</v>
      </c>
      <c r="D7" t="n">
        <v>0.16177213170115</v>
      </c>
      <c r="E7" t="n">
        <v>0.08088606585057501</v>
      </c>
      <c r="F7" t="n">
        <v>0.06916545598832109</v>
      </c>
    </row>
    <row r="8">
      <c r="A8" t="inlineStr">
        <is>
          <t>Q7</t>
        </is>
      </c>
      <c r="B8" t="n">
        <v>39250</v>
      </c>
      <c r="C8" t="n">
        <v>29512.91247619047</v>
      </c>
      <c r="D8" t="n">
        <v>0.1696848401041912</v>
      </c>
      <c r="E8" t="n">
        <v>0.08484242005209558</v>
      </c>
      <c r="F8" t="n">
        <v>0.07068021062076105</v>
      </c>
    </row>
    <row r="9">
      <c r="A9" t="inlineStr">
        <is>
          <t>Q8</t>
        </is>
      </c>
      <c r="B9" t="n">
        <v>38750</v>
      </c>
      <c r="C9" t="n">
        <v>30280.80733333333</v>
      </c>
      <c r="D9" t="n">
        <v>0.1832245395496566</v>
      </c>
      <c r="E9" t="n">
        <v>0.09161226977482828</v>
      </c>
      <c r="F9" t="n">
        <v>0.0743545733096569</v>
      </c>
    </row>
    <row r="10">
      <c r="A10" t="inlineStr">
        <is>
          <t>Q9</t>
        </is>
      </c>
      <c r="B10" t="n">
        <v>37700</v>
      </c>
      <c r="C10" t="n">
        <v>30369.05052380952</v>
      </c>
      <c r="D10" t="n">
        <v>0.1920605017183326</v>
      </c>
      <c r="E10" t="n">
        <v>0.09603025085916631</v>
      </c>
      <c r="F10" t="n">
        <v>0.07593314032030331</v>
      </c>
    </row>
    <row r="11">
      <c r="A11" t="inlineStr">
        <is>
          <t>Q10</t>
        </is>
      </c>
      <c r="B11" t="n">
        <v>37200</v>
      </c>
      <c r="C11" t="n">
        <v>32493.04780952381</v>
      </c>
      <c r="D11" t="n">
        <v>0.2169690471497597</v>
      </c>
      <c r="E11" t="n">
        <v>0.1084845235748798</v>
      </c>
      <c r="F11" t="n">
        <v>0.08357191215526147</v>
      </c>
    </row>
    <row r="12">
      <c r="A12" t="inlineStr">
        <is>
          <t>Sum disc. DPS</t>
        </is>
      </c>
      <c r="F12" t="n">
        <v>0.6916818419109154</v>
      </c>
    </row>
    <row r="13">
      <c r="A13" t="inlineStr">
        <is>
          <t>Terminal value (q9)</t>
        </is>
      </c>
      <c r="E13" t="n">
        <v>2.329223524809156</v>
      </c>
      <c r="F13" t="n">
        <v>1.748126981966651</v>
      </c>
    </row>
    <row r="14">
      <c r="A14" t="inlineStr">
        <is>
          <t>DivStrip implied price</t>
        </is>
      </c>
      <c r="F14" t="n">
        <v>2.439808823877566</v>
      </c>
    </row>
    <row r="15">
      <c r="A15" t="inlineStr">
        <is>
          <t>12M FFA strip (front 4q)</t>
        </is>
      </c>
      <c r="B15" t="n">
        <v>42481.25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1.480633534631111</v>
      </c>
      <c r="C2" t="n">
        <v>1.783037143015192</v>
      </c>
      <c r="D2" t="n">
        <v>2.085440751399275</v>
      </c>
      <c r="E2" t="n">
        <v>2.387844359783355</v>
      </c>
      <c r="F2" t="n">
        <v>2.690247968167437</v>
      </c>
    </row>
    <row r="3">
      <c r="A3" t="inlineStr">
        <is>
          <t>-15%</t>
        </is>
      </c>
      <c r="B3" t="n">
        <v>1.502565917026686</v>
      </c>
      <c r="C3" t="n">
        <v>1.804969525410768</v>
      </c>
      <c r="D3" t="n">
        <v>2.10737313379485</v>
      </c>
      <c r="E3" t="n">
        <v>2.409776742178931</v>
      </c>
      <c r="F3" t="n">
        <v>2.712180350563012</v>
      </c>
    </row>
    <row r="4">
      <c r="A4" t="inlineStr">
        <is>
          <t>+0%</t>
        </is>
      </c>
      <c r="B4" t="n">
        <v>1.524498299422262</v>
      </c>
      <c r="C4" t="n">
        <v>1.826901907806343</v>
      </c>
      <c r="D4" t="n">
        <v>2.129305516190425</v>
      </c>
      <c r="E4" t="n">
        <v>2.431709124574506</v>
      </c>
      <c r="F4" t="n">
        <v>2.734112732958587</v>
      </c>
    </row>
    <row r="5">
      <c r="A5" t="inlineStr">
        <is>
          <t>+15%</t>
        </is>
      </c>
      <c r="B5" t="n">
        <v>1.546430681817837</v>
      </c>
      <c r="C5" t="n">
        <v>1.848834290201918</v>
      </c>
      <c r="D5" t="n">
        <v>2.151237898586</v>
      </c>
      <c r="E5" t="n">
        <v>2.453641506970081</v>
      </c>
      <c r="F5" t="n">
        <v>2.756045115354162</v>
      </c>
    </row>
    <row r="6">
      <c r="A6" t="inlineStr">
        <is>
          <t>+30%</t>
        </is>
      </c>
      <c r="B6" t="n">
        <v>1.568363064213412</v>
      </c>
      <c r="C6" t="n">
        <v>1.870766672597493</v>
      </c>
      <c r="D6" t="n">
        <v>2.173170280981575</v>
      </c>
      <c r="E6" t="n">
        <v>2.475573889365656</v>
      </c>
      <c r="F6" t="n">
        <v>2.777977497749737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2.14</v>
      </c>
    </row>
    <row r="3">
      <c r="A3" t="n">
        <v>0.95</v>
      </c>
      <c r="B3" t="n">
        <v>2.15</v>
      </c>
    </row>
    <row r="4">
      <c r="A4" t="n">
        <v>1</v>
      </c>
      <c r="B4" t="n">
        <v>2.15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$388,300/day is 9.7x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2026-06-28T13:49:35Z</dcterms:created>
  <dcterms:modified xsi:type="dcterms:W3CDTF">2026-06-28T13:49:35Z</dcterms:modified>
</cp:coreProperties>
</file>