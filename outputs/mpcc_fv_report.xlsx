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40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MPCC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2.52</v>
      </c>
    </row>
    <row r="5">
      <c r="A5" s="1" t="inlineStr">
        <is>
          <t>Model fair value</t>
        </is>
      </c>
      <c r="B5" t="n">
        <v>2.209783772116895</v>
      </c>
    </row>
    <row r="6">
      <c r="A6" s="1" t="inlineStr">
        <is>
          <t>Analyst target</t>
        </is>
      </c>
      <c r="B6" t="n">
        <v>2.63</v>
      </c>
    </row>
    <row r="7">
      <c r="A7" s="1" t="inlineStr">
        <is>
          <t>NAV / share</t>
        </is>
      </c>
      <c r="B7" t="n">
        <v>2.041106685901538</v>
      </c>
    </row>
    <row r="8">
      <c r="A8" s="1" t="inlineStr">
        <is>
          <t>DivStrip implied price</t>
        </is>
      </c>
      <c r="B8" t="n">
        <v>2.462799401439929</v>
      </c>
    </row>
    <row r="9">
      <c r="A9" s="1" t="inlineStr">
        <is>
          <t>12M TC cycle input Ctr-Intermediate ($/day)</t>
        </is>
      </c>
      <c r="B9" t="n">
        <v>46350</v>
      </c>
    </row>
    <row r="10">
      <c r="A10" s="1" t="inlineStr">
        <is>
          <t>12M FFA strip Ctr-Intermediate ($/day)</t>
        </is>
      </c>
      <c r="B10" t="n">
        <v>44825</v>
      </c>
    </row>
    <row r="11">
      <c r="A11" s="1" t="inlineStr">
        <is>
          <t>Cycle position</t>
        </is>
      </c>
      <c r="B11" t="n">
        <v>1.310820323135168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132543.4122991888</v>
      </c>
    </row>
    <row r="16">
      <c r="A16" s="1" t="inlineStr">
        <is>
          <t>Breakeven multiplier (× forward)</t>
        </is>
      </c>
      <c r="B16" t="n">
        <v>3.437865933277382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Ctr-Feeder</t>
        </is>
      </c>
      <c r="B2" t="n">
        <v>440.8073816635988</v>
      </c>
    </row>
    <row r="3">
      <c r="A3" t="inlineStr">
        <is>
          <t>Fleet value — Ctr-Intermediate</t>
        </is>
      </c>
      <c r="B3" t="n">
        <v>1093.332224339679</v>
      </c>
    </row>
    <row r="4">
      <c r="A4" t="inlineStr">
        <is>
          <t>+ Cash &amp; equivalents</t>
        </is>
      </c>
      <c r="B4" t="n">
        <v>269.3</v>
      </c>
    </row>
    <row r="5">
      <c r="A5" t="inlineStr">
        <is>
          <t>+ Working capital (net)</t>
        </is>
      </c>
      <c r="B5" t="n">
        <v>85.90000000000001</v>
      </c>
    </row>
    <row r="6">
      <c r="A6" t="inlineStr">
        <is>
          <t>- Total debt</t>
        </is>
      </c>
      <c r="B6" t="n">
        <v>-462.9</v>
      </c>
    </row>
    <row r="7">
      <c r="A7" t="inlineStr">
        <is>
          <t>- Lease liabilities</t>
        </is>
      </c>
      <c r="B7" t="n">
        <v>-0</v>
      </c>
    </row>
    <row r="8">
      <c r="A8" t="inlineStr">
        <is>
          <t>- Newbuild commitments</t>
        </is>
      </c>
      <c r="B8" t="n">
        <v>-633.7</v>
      </c>
    </row>
    <row r="9">
      <c r="A9" t="inlineStr">
        <is>
          <t>+ Newbuild advances</t>
        </is>
      </c>
      <c r="B9" t="n">
        <v>112.9</v>
      </c>
    </row>
    <row r="10">
      <c r="A10">
        <f> NAV total</f>
        <v/>
      </c>
      <c r="B10" t="n">
        <v>905.639606003278</v>
      </c>
    </row>
    <row r="11">
      <c r="A11" t="inlineStr">
        <is>
          <t>Diluted shares</t>
        </is>
      </c>
      <c r="B11" t="n">
        <v>443700279</v>
      </c>
    </row>
    <row r="12">
      <c r="A12" t="inlineStr">
        <is>
          <t>NAV / share</t>
        </is>
      </c>
      <c r="B12" t="n">
        <v>2.041106685901538</v>
      </c>
    </row>
    <row r="13">
      <c r="A13" t="inlineStr">
        <is>
          <t>NAV / share (ex yard discount)</t>
        </is>
      </c>
      <c r="B13" t="n">
        <v>2.041106685901538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5"/>
  <sheetViews>
    <sheetView workbookViewId="0">
      <selection activeCell="A1" sqref="A1"/>
    </sheetView>
  </sheetViews>
  <sheetFormatPr baseColWidth="8" defaultRowHeight="15"/>
  <cols>
    <col width="26" customWidth="1" min="1" max="1"/>
    <col width="35" customWidth="1" min="2" max="2"/>
    <col width="21" customWidth="1" min="3" max="3"/>
    <col width="21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Ctr-Intermediate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46350</v>
      </c>
      <c r="C2" t="n">
        <v>26404.2380952381</v>
      </c>
      <c r="D2" t="n">
        <v>0.1285357879267489</v>
      </c>
      <c r="E2" t="n">
        <v>0.06426789396337446</v>
      </c>
      <c r="F2" t="n">
        <v>0.06261282857571353</v>
      </c>
    </row>
    <row r="3">
      <c r="A3" t="inlineStr">
        <is>
          <t>Q2</t>
        </is>
      </c>
      <c r="B3" t="n">
        <v>45325</v>
      </c>
      <c r="C3" t="n">
        <v>26404.2380952381</v>
      </c>
      <c r="D3" t="n">
        <v>0.1312469405351294</v>
      </c>
      <c r="E3" t="n">
        <v>0.0656234702675647</v>
      </c>
      <c r="F3" t="n">
        <v>0.06228704151348542</v>
      </c>
    </row>
    <row r="4">
      <c r="A4" t="inlineStr">
        <is>
          <t>Q3</t>
        </is>
      </c>
      <c r="B4" t="n">
        <v>44325</v>
      </c>
      <c r="C4" t="n">
        <v>27013.544</v>
      </c>
      <c r="D4" t="n">
        <v>0.1352631264630104</v>
      </c>
      <c r="E4" t="n">
        <v>0.0676315632315052</v>
      </c>
      <c r="F4" t="n">
        <v>0.06253990132855246</v>
      </c>
    </row>
    <row r="5">
      <c r="A5" t="inlineStr">
        <is>
          <t>Q4</t>
        </is>
      </c>
      <c r="B5" t="n">
        <v>43300</v>
      </c>
      <c r="C5" t="n">
        <v>28735.85323809524</v>
      </c>
      <c r="D5" t="n">
        <v>0.1459371771488864</v>
      </c>
      <c r="E5" t="n">
        <v>0.0729685885744432</v>
      </c>
      <c r="F5" t="n">
        <v>0.06573746718418307</v>
      </c>
    </row>
    <row r="6">
      <c r="A6" t="inlineStr">
        <is>
          <t>Q5</t>
        </is>
      </c>
      <c r="B6" t="n">
        <v>42275</v>
      </c>
      <c r="C6" t="n">
        <v>29054.65533333334</v>
      </c>
      <c r="D6" t="n">
        <v>0.1548850100820818</v>
      </c>
      <c r="E6" t="n">
        <v>0.07744250504104089</v>
      </c>
      <c r="F6" t="n">
        <v>0.06797131455830406</v>
      </c>
    </row>
    <row r="7">
      <c r="A7" t="inlineStr">
        <is>
          <t>Q6</t>
        </is>
      </c>
      <c r="B7" t="n">
        <v>41275</v>
      </c>
      <c r="C7" t="n">
        <v>29765.03028571429</v>
      </c>
      <c r="D7" t="n">
        <v>0.1656526542779681</v>
      </c>
      <c r="E7" t="n">
        <v>0.08282632713898405</v>
      </c>
      <c r="F7" t="n">
        <v>0.07082456816466567</v>
      </c>
    </row>
    <row r="8">
      <c r="A8" t="inlineStr">
        <is>
          <t>Q7</t>
        </is>
      </c>
      <c r="B8" t="n">
        <v>40250</v>
      </c>
      <c r="C8" t="n">
        <v>29754.91247619047</v>
      </c>
      <c r="D8" t="n">
        <v>0.1735113489669453</v>
      </c>
      <c r="E8" t="n">
        <v>0.08675567448347266</v>
      </c>
      <c r="F8" t="n">
        <v>0.07227409757139024</v>
      </c>
    </row>
    <row r="9">
      <c r="A9" t="inlineStr">
        <is>
          <t>Q8</t>
        </is>
      </c>
      <c r="B9" t="n">
        <v>39225</v>
      </c>
      <c r="C9" t="n">
        <v>30429.95733333333</v>
      </c>
      <c r="D9" t="n">
        <v>0.1855868837510448</v>
      </c>
      <c r="E9" t="n">
        <v>0.09279344187552242</v>
      </c>
      <c r="F9" t="n">
        <v>0.07531323908410227</v>
      </c>
    </row>
    <row r="10">
      <c r="A10" t="inlineStr">
        <is>
          <t>Q9</t>
        </is>
      </c>
      <c r="B10" t="n">
        <v>38225</v>
      </c>
      <c r="C10" t="n">
        <v>30553.32552380952</v>
      </c>
      <c r="D10" t="n">
        <v>0.1940897798244999</v>
      </c>
      <c r="E10" t="n">
        <v>0.09704488991224994</v>
      </c>
      <c r="F10" t="n">
        <v>0.07673543677275399</v>
      </c>
    </row>
    <row r="11">
      <c r="A11" t="inlineStr">
        <is>
          <t>Q10</t>
        </is>
      </c>
      <c r="B11" t="n">
        <v>37200</v>
      </c>
      <c r="C11" t="n">
        <v>32493.04780952381</v>
      </c>
      <c r="D11" t="n">
        <v>0.2169690471497597</v>
      </c>
      <c r="E11" t="n">
        <v>0.1084845235748798</v>
      </c>
      <c r="F11" t="n">
        <v>0.08357191215526147</v>
      </c>
    </row>
    <row r="12">
      <c r="A12" t="inlineStr">
        <is>
          <t>Sum disc. DPS</t>
        </is>
      </c>
      <c r="F12" t="n">
        <v>0.6998678069084122</v>
      </c>
    </row>
    <row r="13">
      <c r="A13" t="inlineStr">
        <is>
          <t>Terminal value (q9)</t>
        </is>
      </c>
      <c r="E13" t="n">
        <v>2.348949352633733</v>
      </c>
      <c r="F13" t="n">
        <v>1.762931594531517</v>
      </c>
    </row>
    <row r="14">
      <c r="A14" t="inlineStr">
        <is>
          <t>DivStrip implied price</t>
        </is>
      </c>
      <c r="F14" t="n">
        <v>2.462799401439929</v>
      </c>
    </row>
    <row r="15">
      <c r="A15" t="inlineStr">
        <is>
          <t>12M FFA strip (front 4q)</t>
        </is>
      </c>
      <c r="B15" t="n">
        <v>44825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1.496402223925856</v>
      </c>
      <c r="C2" t="n">
        <v>1.800280880424487</v>
      </c>
      <c r="D2" t="n">
        <v>2.104159536923119</v>
      </c>
      <c r="E2" t="n">
        <v>2.408038193421749</v>
      </c>
      <c r="F2" t="n">
        <v>2.71191684992038</v>
      </c>
    </row>
    <row r="3">
      <c r="A3" t="inlineStr">
        <is>
          <t>-15%</t>
        </is>
      </c>
      <c r="B3" t="n">
        <v>1.519184957259648</v>
      </c>
      <c r="C3" t="n">
        <v>1.823063613758279</v>
      </c>
      <c r="D3" t="n">
        <v>2.12694227025691</v>
      </c>
      <c r="E3" t="n">
        <v>2.430820926755541</v>
      </c>
      <c r="F3" t="n">
        <v>2.734699583254172</v>
      </c>
    </row>
    <row r="4">
      <c r="A4" t="inlineStr">
        <is>
          <t>+0%</t>
        </is>
      </c>
      <c r="B4" t="n">
        <v>1.54196769059344</v>
      </c>
      <c r="C4" t="n">
        <v>1.845846347092071</v>
      </c>
      <c r="D4" t="n">
        <v>2.149725003590702</v>
      </c>
      <c r="E4" t="n">
        <v>2.453603660089334</v>
      </c>
      <c r="F4" t="n">
        <v>2.757482316587964</v>
      </c>
    </row>
    <row r="5">
      <c r="A5" t="inlineStr">
        <is>
          <t>+15%</t>
        </is>
      </c>
      <c r="B5" t="n">
        <v>1.564750423927232</v>
      </c>
      <c r="C5" t="n">
        <v>1.868629080425863</v>
      </c>
      <c r="D5" t="n">
        <v>2.172507736924494</v>
      </c>
      <c r="E5" t="n">
        <v>2.476386393423125</v>
      </c>
      <c r="F5" t="n">
        <v>2.780265049921756</v>
      </c>
    </row>
    <row r="6">
      <c r="A6" t="inlineStr">
        <is>
          <t>+30%</t>
        </is>
      </c>
      <c r="B6" t="n">
        <v>1.587533157261024</v>
      </c>
      <c r="C6" t="n">
        <v>1.891411813759655</v>
      </c>
      <c r="D6" t="n">
        <v>2.195290470258286</v>
      </c>
      <c r="E6" t="n">
        <v>2.499169126756917</v>
      </c>
      <c r="F6" t="n">
        <v>2.803047783255549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2.16</v>
      </c>
    </row>
    <row r="3">
      <c r="A3" t="n">
        <v>0.95</v>
      </c>
      <c r="B3" t="n">
        <v>2.17</v>
      </c>
    </row>
    <row r="4">
      <c r="A4" t="n">
        <v>1</v>
      </c>
      <c r="B4" t="n">
        <v>2.17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2026-07-06T18:17:41Z</dcterms:created>
  <dcterms:modified xsi:type="dcterms:W3CDTF">2026-07-06T18:17:41Z</dcterms:modified>
</cp:coreProperties>
</file>