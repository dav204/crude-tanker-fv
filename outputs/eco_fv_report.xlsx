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6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ECO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53.11</v>
      </c>
    </row>
    <row r="5">
      <c r="A5" s="1" t="inlineStr">
        <is>
          <t>Model fair value</t>
        </is>
      </c>
      <c r="B5" t="n">
        <v>37.18391296596901</v>
      </c>
    </row>
    <row r="6">
      <c r="A6" s="1" t="inlineStr">
        <is>
          <t>Analyst target</t>
        </is>
      </c>
      <c r="B6" t="n">
        <v>45</v>
      </c>
    </row>
    <row r="7">
      <c r="A7" s="1" t="inlineStr">
        <is>
          <t>NAV / share</t>
        </is>
      </c>
      <c r="B7" t="n">
        <v>34.35233718422831</v>
      </c>
    </row>
    <row r="8">
      <c r="A8" s="1" t="inlineStr">
        <is>
          <t>DivStrip implied price</t>
        </is>
      </c>
      <c r="B8" t="n">
        <v>43.79092312336398</v>
      </c>
    </row>
    <row r="9">
      <c r="A9" s="1" t="inlineStr">
        <is>
          <t>12M TC cycle input Suezmax ($/day)</t>
        </is>
      </c>
      <c r="B9" t="n">
        <v>61250</v>
      </c>
    </row>
    <row r="10">
      <c r="A10" s="1" t="inlineStr">
        <is>
          <t>12M FFA strip Suezmax ($/day)</t>
        </is>
      </c>
      <c r="B10" t="n">
        <v>85000</v>
      </c>
    </row>
    <row r="11">
      <c r="A11" s="1" t="inlineStr">
        <is>
          <t>Cycle position</t>
        </is>
      </c>
      <c r="B11" t="n">
        <v>2.493422768490981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343912.849046688</v>
      </c>
    </row>
    <row r="16">
      <c r="A16" s="1" t="inlineStr">
        <is>
          <t>Breakeven multiplier (× forward)</t>
        </is>
      </c>
      <c r="B16" t="n">
        <v>2.875467819484197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948.9968822268455</v>
      </c>
    </row>
    <row r="3">
      <c r="A3" t="inlineStr">
        <is>
          <t>Fleet value — Suezmax</t>
        </is>
      </c>
      <c r="B3" t="n">
        <v>970.8059045750206</v>
      </c>
    </row>
    <row r="4">
      <c r="A4" t="inlineStr">
        <is>
          <t>+ Cash &amp; equivalents</t>
        </is>
      </c>
      <c r="B4" t="n">
        <v>176.519699</v>
      </c>
    </row>
    <row r="5">
      <c r="A5" t="inlineStr">
        <is>
          <t>+ Working capital (net)</t>
        </is>
      </c>
      <c r="B5" t="n">
        <v>86.90000000000001</v>
      </c>
    </row>
    <row r="6">
      <c r="A6" t="inlineStr">
        <is>
          <t>- Total debt</t>
        </is>
      </c>
      <c r="B6" t="n">
        <v>-683.0873319999999</v>
      </c>
    </row>
    <row r="7">
      <c r="A7" t="inlineStr">
        <is>
          <t>- Lease liabilities</t>
        </is>
      </c>
      <c r="B7" t="n">
        <v>-0</v>
      </c>
    </row>
    <row r="8">
      <c r="A8" t="inlineStr">
        <is>
          <t>- Newbuild commitments</t>
        </is>
      </c>
      <c r="B8" t="n">
        <v>-158.86</v>
      </c>
    </row>
    <row r="9">
      <c r="A9" t="inlineStr">
        <is>
          <t>+ Newbuild advances</t>
        </is>
      </c>
      <c r="B9" t="n">
        <v>0</v>
      </c>
    </row>
    <row r="10">
      <c r="A10">
        <f> NAV total</f>
        <v/>
      </c>
      <c r="B10" t="n">
        <v>1341.275153801866</v>
      </c>
    </row>
    <row r="11">
      <c r="A11" t="inlineStr">
        <is>
          <t>Diluted shares</t>
        </is>
      </c>
      <c r="B11" t="n">
        <v>39044655</v>
      </c>
    </row>
    <row r="12">
      <c r="A12" t="inlineStr">
        <is>
          <t>NAV / share</t>
        </is>
      </c>
      <c r="B12" t="n">
        <v>34.35233718422831</v>
      </c>
    </row>
    <row r="13">
      <c r="A13" t="inlineStr">
        <is>
          <t>NAV / share (ex yard discount)</t>
        </is>
      </c>
      <c r="B13" t="n">
        <v>34.35233718422831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Suezmax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81500</v>
      </c>
      <c r="C2" t="n">
        <v>81500</v>
      </c>
      <c r="D2" t="n">
        <v>3.623488598843554</v>
      </c>
      <c r="E2" t="n">
        <v>3.079965309017021</v>
      </c>
      <c r="F2" t="n">
        <v>3.000648193365846</v>
      </c>
    </row>
    <row r="3">
      <c r="A3" t="inlineStr">
        <is>
          <t>Q2</t>
        </is>
      </c>
      <c r="B3" t="n">
        <v>99000</v>
      </c>
      <c r="C3" t="n">
        <v>99000</v>
      </c>
      <c r="D3" t="n">
        <v>4.603774728993763</v>
      </c>
      <c r="E3" t="n">
        <v>3.913208519644698</v>
      </c>
      <c r="F3" t="n">
        <v>3.714253155467566</v>
      </c>
    </row>
    <row r="4">
      <c r="A4" t="inlineStr">
        <is>
          <t>Q3</t>
        </is>
      </c>
      <c r="B4" t="n">
        <v>92000</v>
      </c>
      <c r="C4" t="n">
        <v>92000</v>
      </c>
      <c r="D4" t="n">
        <v>4.153672293359487</v>
      </c>
      <c r="E4" t="n">
        <v>3.530621449355564</v>
      </c>
      <c r="F4" t="n">
        <v>3.264817586950424</v>
      </c>
    </row>
    <row r="5">
      <c r="A5" t="inlineStr">
        <is>
          <t>Q4</t>
        </is>
      </c>
      <c r="B5" t="n">
        <v>67500</v>
      </c>
      <c r="C5" t="n">
        <v>67500</v>
      </c>
      <c r="D5" t="n">
        <v>2.916577006155644</v>
      </c>
      <c r="E5" t="n">
        <v>2.479090455232297</v>
      </c>
      <c r="F5" t="n">
        <v>2.233414824533601</v>
      </c>
    </row>
    <row r="6">
      <c r="A6" t="inlineStr">
        <is>
          <t>Q5</t>
        </is>
      </c>
      <c r="B6" t="n">
        <v>60000</v>
      </c>
      <c r="C6" t="n">
        <v>60000</v>
      </c>
      <c r="D6" t="n">
        <v>2.551681029971452</v>
      </c>
      <c r="E6" t="n">
        <v>2.168928875475734</v>
      </c>
      <c r="F6" t="n">
        <v>1.903669654944936</v>
      </c>
    </row>
    <row r="7">
      <c r="A7" t="inlineStr">
        <is>
          <t>Q6</t>
        </is>
      </c>
      <c r="B7" t="n">
        <v>78000</v>
      </c>
      <c r="C7" t="n">
        <v>78000</v>
      </c>
      <c r="D7" t="n">
        <v>3.350114061381257</v>
      </c>
      <c r="E7" t="n">
        <v>2.847596952174068</v>
      </c>
      <c r="F7" t="n">
        <v>2.434972446699516</v>
      </c>
    </row>
    <row r="8">
      <c r="A8" t="inlineStr">
        <is>
          <t>Q7</t>
        </is>
      </c>
      <c r="B8" t="n">
        <v>81500</v>
      </c>
      <c r="C8" t="n">
        <v>81500</v>
      </c>
      <c r="D8" t="n">
        <v>3.623488598843554</v>
      </c>
      <c r="E8" t="n">
        <v>3.079965309017021</v>
      </c>
      <c r="F8" t="n">
        <v>2.56584614880494</v>
      </c>
    </row>
    <row r="9">
      <c r="A9" t="inlineStr">
        <is>
          <t>Q8</t>
        </is>
      </c>
      <c r="B9" t="n">
        <v>56500</v>
      </c>
      <c r="C9" t="n">
        <v>56500</v>
      </c>
      <c r="D9" t="n">
        <v>2.374953131799474</v>
      </c>
      <c r="E9" t="n">
        <v>2.018710162029553</v>
      </c>
      <c r="F9" t="n">
        <v>1.638430453720926</v>
      </c>
    </row>
    <row r="10">
      <c r="A10" t="inlineStr">
        <is>
          <t>Sum disc. DPS</t>
        </is>
      </c>
      <c r="F10" t="n">
        <v>20.75605246448776</v>
      </c>
    </row>
    <row r="11">
      <c r="A11" t="inlineStr">
        <is>
          <t>Terminal value (q9)</t>
        </is>
      </c>
      <c r="E11" t="n">
        <v>29.13147538149252</v>
      </c>
      <c r="F11" t="n">
        <v>23.03487065887622</v>
      </c>
    </row>
    <row r="12">
      <c r="A12" t="inlineStr">
        <is>
          <t>DivStrip implied price</t>
        </is>
      </c>
      <c r="F12" t="n">
        <v>43.79092312336398</v>
      </c>
    </row>
    <row r="13">
      <c r="A13" t="inlineStr">
        <is>
          <t>12M FFA strip (front 4q)</t>
        </is>
      </c>
      <c r="B13" t="n">
        <v>85000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19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25.86114658224457</v>
      </c>
      <c r="C2" t="n">
        <v>30.24876062153254</v>
      </c>
      <c r="D2" t="n">
        <v>34.63637466082052</v>
      </c>
      <c r="E2" t="n">
        <v>39.0239887001085</v>
      </c>
      <c r="F2" t="n">
        <v>43.41160273939647</v>
      </c>
    </row>
    <row r="3">
      <c r="A3" t="inlineStr">
        <is>
          <t>-15%</t>
        </is>
      </c>
      <c r="B3" t="n">
        <v>27.13491573481881</v>
      </c>
      <c r="C3" t="n">
        <v>31.52252977410679</v>
      </c>
      <c r="D3" t="n">
        <v>35.91014381339477</v>
      </c>
      <c r="E3" t="n">
        <v>40.29775785268275</v>
      </c>
      <c r="F3" t="n">
        <v>44.68537189197072</v>
      </c>
    </row>
    <row r="4">
      <c r="A4" t="inlineStr">
        <is>
          <t>+0%</t>
        </is>
      </c>
      <c r="B4" t="n">
        <v>28.40868488739305</v>
      </c>
      <c r="C4" t="n">
        <v>32.79629892668103</v>
      </c>
      <c r="D4" t="n">
        <v>37.18391296596901</v>
      </c>
      <c r="E4" t="n">
        <v>41.57152700525699</v>
      </c>
      <c r="F4" t="n">
        <v>45.95914104454496</v>
      </c>
    </row>
    <row r="5">
      <c r="A5" t="inlineStr">
        <is>
          <t>+15%</t>
        </is>
      </c>
      <c r="B5" t="n">
        <v>29.68245403996729</v>
      </c>
      <c r="C5" t="n">
        <v>34.07006807925526</v>
      </c>
      <c r="D5" t="n">
        <v>38.45768211854325</v>
      </c>
      <c r="E5" t="n">
        <v>42.84529615783123</v>
      </c>
      <c r="F5" t="n">
        <v>47.2329101971192</v>
      </c>
    </row>
    <row r="6">
      <c r="A6" t="inlineStr">
        <is>
          <t>+30%</t>
        </is>
      </c>
      <c r="B6" t="n">
        <v>30.95622319254154</v>
      </c>
      <c r="C6" t="n">
        <v>35.34383723182951</v>
      </c>
      <c r="D6" t="n">
        <v>39.73145127111749</v>
      </c>
      <c r="E6" t="n">
        <v>44.11906531040547</v>
      </c>
      <c r="F6" t="n">
        <v>48.50667934969344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37.14</v>
      </c>
    </row>
    <row r="3">
      <c r="A3" t="n">
        <v>0.95</v>
      </c>
      <c r="B3" t="n">
        <v>37.27</v>
      </c>
    </row>
    <row r="4">
      <c r="A4" t="n">
        <v>1</v>
      </c>
      <c r="B4" t="n">
        <v>37.32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$285,500/day is 7.1x the 10-yr mean ($40,000) — unsustainable as a level. Confirm it is a genuine cycle spike (not a unit/source error) and do not anchor valuation to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2026-07-03T00:10:18Z</dcterms:created>
  <dcterms:modified xsi:type="dcterms:W3CDTF">2026-07-03T00:10:18Z</dcterms:modified>
</cp:coreProperties>
</file>