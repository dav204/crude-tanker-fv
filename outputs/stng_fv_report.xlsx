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AV" sheetId="2" state="visible" r:id="rId2"/>
    <sheet name="DivStrip" sheetId="3" state="visible" r:id="rId3"/>
    <sheet name="Sensitivity" sheetId="4" state="visible" r:id="rId4"/>
    <sheet name="Payout" sheetId="5" state="visible" r:id="rId5"/>
    <sheet name="Warn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Ticker</t>
        </is>
      </c>
      <c r="B1" t="inlineStr">
        <is>
          <t>STNG</t>
        </is>
      </c>
    </row>
    <row r="2">
      <c r="A2" s="1" t="inlineStr">
        <is>
          <t>Valuation basis</t>
        </is>
      </c>
      <c r="B2" t="inlineStr">
        <is>
          <t>whole-company</t>
        </is>
      </c>
    </row>
    <row r="3">
      <c r="A3" s="1" t="inlineStr">
        <is>
          <t>Report date</t>
        </is>
      </c>
      <c r="B3" t="inlineStr">
        <is>
          <t>2026-Q2</t>
        </is>
      </c>
    </row>
    <row r="4">
      <c r="A4" s="1" t="inlineStr">
        <is>
          <t>Current price</t>
        </is>
      </c>
      <c r="B4" t="n">
        <v>76.08</v>
      </c>
    </row>
    <row r="5">
      <c r="A5" s="1" t="inlineStr">
        <is>
          <t>Model fair value</t>
        </is>
      </c>
      <c r="B5" t="n">
        <v>73.33575039357001</v>
      </c>
    </row>
    <row r="6">
      <c r="A6" s="1" t="inlineStr">
        <is>
          <t>Analyst target</t>
        </is>
      </c>
      <c r="B6" t="n">
        <v>94</v>
      </c>
    </row>
    <row r="7">
      <c r="A7" s="1" t="inlineStr">
        <is>
          <t>NAV / share</t>
        </is>
      </c>
      <c r="B7" t="n">
        <v>76.42261809795509</v>
      </c>
    </row>
    <row r="8">
      <c r="A8" s="1" t="inlineStr">
        <is>
          <t>DivStrip implied price</t>
        </is>
      </c>
      <c r="B8" t="n">
        <v>66.13305908333815</v>
      </c>
    </row>
    <row r="9">
      <c r="A9" s="1" t="inlineStr">
        <is>
          <t>12M TC cycle input LR2 ($/day)</t>
        </is>
      </c>
      <c r="B9" t="n">
        <v>56250</v>
      </c>
    </row>
    <row r="10">
      <c r="A10" s="1" t="inlineStr">
        <is>
          <t>12M FFA strip LR2 ($/day)</t>
        </is>
      </c>
      <c r="B10" t="n">
        <v>77250</v>
      </c>
    </row>
    <row r="11">
      <c r="A11" s="1" t="inlineStr">
        <is>
          <t>Cycle position</t>
        </is>
      </c>
      <c r="B11" t="n">
        <v>1.715697285094236</v>
      </c>
    </row>
    <row r="12">
      <c r="A12" s="1" t="inlineStr">
        <is>
          <t>Cycle band</t>
        </is>
      </c>
      <c r="B12" t="inlineStr">
        <is>
          <t>late-cycle/peak</t>
        </is>
      </c>
    </row>
    <row r="13">
      <c r="A13" s="1" t="inlineStr">
        <is>
          <t>w_nav</t>
        </is>
      </c>
      <c r="B13" t="n">
        <v>0.7</v>
      </c>
    </row>
    <row r="14">
      <c r="A14" s="1" t="inlineStr">
        <is>
          <t>w_earn</t>
        </is>
      </c>
      <c r="B14" t="n">
        <v>0.3</v>
      </c>
    </row>
    <row r="15">
      <c r="A15" s="1" t="inlineStr">
        <is>
          <t>Implied breakeven blended ($/day)</t>
        </is>
      </c>
      <c r="B15" t="n">
        <v>71456.09659505378</v>
      </c>
    </row>
    <row r="16">
      <c r="A16" s="1" t="inlineStr">
        <is>
          <t>Breakeven multiplier (× forward)</t>
        </is>
      </c>
      <c r="B16" t="n">
        <v>1.3814208420171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Item</t>
        </is>
      </c>
      <c r="B1" s="1" t="inlineStr">
        <is>
          <t>$M</t>
        </is>
      </c>
    </row>
    <row r="2">
      <c r="A2" t="inlineStr">
        <is>
          <t>Fleet value — LR2</t>
        </is>
      </c>
      <c r="B2" t="n">
        <v>1576.69607308248</v>
      </c>
    </row>
    <row r="3">
      <c r="A3" t="inlineStr">
        <is>
          <t>Fleet value — MR</t>
        </is>
      </c>
      <c r="B3" t="n">
        <v>1246.96996464278</v>
      </c>
    </row>
    <row r="4">
      <c r="A4" t="inlineStr">
        <is>
          <t>Fleet value — Handymax</t>
        </is>
      </c>
      <c r="B4" t="n">
        <v>244.8</v>
      </c>
    </row>
    <row r="5">
      <c r="A5" t="inlineStr">
        <is>
          <t>+ Cash &amp; equivalents</t>
        </is>
      </c>
      <c r="B5" t="n">
        <v>1838.782</v>
      </c>
    </row>
    <row r="6">
      <c r="A6" t="inlineStr">
        <is>
          <t>+ Working capital (net)</t>
        </is>
      </c>
      <c r="B6" t="n">
        <v>153.195</v>
      </c>
    </row>
    <row r="7">
      <c r="A7" t="inlineStr">
        <is>
          <t>- Total debt</t>
        </is>
      </c>
      <c r="B7" t="n">
        <v>-855</v>
      </c>
    </row>
    <row r="8">
      <c r="A8" t="inlineStr">
        <is>
          <t>- Lease liabilities</t>
        </is>
      </c>
      <c r="B8" t="n">
        <v>-0</v>
      </c>
    </row>
    <row r="9">
      <c r="A9" t="inlineStr">
        <is>
          <t>- Newbuild commitments</t>
        </is>
      </c>
      <c r="B9" t="n">
        <v>-644.321</v>
      </c>
    </row>
    <row r="10">
      <c r="A10" t="inlineStr">
        <is>
          <t>+ Newbuild advances</t>
        </is>
      </c>
      <c r="B10" t="n">
        <v>90.208</v>
      </c>
    </row>
    <row r="11">
      <c r="A11">
        <f> NAV total</f>
        <v/>
      </c>
      <c r="B11" t="n">
        <v>3827.34803772526</v>
      </c>
    </row>
    <row r="12">
      <c r="A12" t="inlineStr">
        <is>
          <t>Diluted shares</t>
        </is>
      </c>
      <c r="B12" t="n">
        <v>50081352</v>
      </c>
    </row>
    <row r="13">
      <c r="A13" t="inlineStr">
        <is>
          <t>NAV / share</t>
        </is>
      </c>
      <c r="B13" t="n">
        <v>76.42261809795509</v>
      </c>
    </row>
    <row r="14">
      <c r="A14" t="inlineStr">
        <is>
          <t>NAV / share (ex yard discount)</t>
        </is>
      </c>
      <c r="B14" t="n">
        <v>76.42261809795509</v>
      </c>
    </row>
    <row r="15">
      <c r="A15" t="inlineStr">
        <is>
          <t>Yard-discount impact / share</t>
        </is>
      </c>
      <c r="B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1" customWidth="1" min="3" max="3"/>
    <col width="20" customWidth="1" min="4" max="4"/>
    <col width="19" customWidth="1" min="5" max="5"/>
    <col width="21" customWidth="1" min="6" max="6"/>
  </cols>
  <sheetData>
    <row r="1">
      <c r="A1" s="1" t="inlineStr">
        <is>
          <t>Quarter</t>
        </is>
      </c>
      <c r="B1" s="1" t="inlineStr">
        <is>
          <t>FFA spot LR2 ($/day)</t>
        </is>
      </c>
      <c r="C1" s="1" t="inlineStr">
        <is>
          <t>Blended TCE ($/day)</t>
        </is>
      </c>
      <c r="D1" s="1" t="inlineStr">
        <is>
          <t>EPS</t>
        </is>
      </c>
      <c r="E1" s="1" t="inlineStr">
        <is>
          <t>DPS</t>
        </is>
      </c>
      <c r="F1" s="1" t="inlineStr">
        <is>
          <t>Disc. DPS</t>
        </is>
      </c>
    </row>
    <row r="2">
      <c r="A2" t="inlineStr">
        <is>
          <t>Q1</t>
        </is>
      </c>
      <c r="B2" t="n">
        <v>75000</v>
      </c>
      <c r="C2" t="n">
        <v>57773.96</v>
      </c>
      <c r="D2" t="n">
        <v>2.536597741136262</v>
      </c>
      <c r="E2" t="n">
        <v>0.45</v>
      </c>
      <c r="F2" t="n">
        <v>0.4384113298489001</v>
      </c>
    </row>
    <row r="3">
      <c r="A3" t="inlineStr">
        <is>
          <t>Q2</t>
        </is>
      </c>
      <c r="B3" t="n">
        <v>88000</v>
      </c>
      <c r="C3" t="n">
        <v>65573.96000000001</v>
      </c>
      <c r="D3" t="n">
        <v>3.542044726672914</v>
      </c>
      <c r="E3" t="n">
        <v>0.45</v>
      </c>
      <c r="F3" t="n">
        <v>0.4271210980886246</v>
      </c>
    </row>
    <row r="4">
      <c r="A4" t="inlineStr">
        <is>
          <t>Q3</t>
        </is>
      </c>
      <c r="B4" t="n">
        <v>82000</v>
      </c>
      <c r="C4" t="n">
        <v>61973.96</v>
      </c>
      <c r="D4" t="n">
        <v>3.217027196195702</v>
      </c>
      <c r="E4" t="n">
        <v>0.45</v>
      </c>
      <c r="F4" t="n">
        <v>0.4161216191545697</v>
      </c>
    </row>
    <row r="5">
      <c r="A5" t="inlineStr">
        <is>
          <t>Q4</t>
        </is>
      </c>
      <c r="B5" t="n">
        <v>64000</v>
      </c>
      <c r="C5" t="n">
        <v>51173.96</v>
      </c>
      <c r="D5" t="n">
        <v>1.99550360244368</v>
      </c>
      <c r="E5" t="n">
        <v>0.45</v>
      </c>
      <c r="F5" t="n">
        <v>0.4054054054054054</v>
      </c>
    </row>
    <row r="6">
      <c r="A6" t="inlineStr">
        <is>
          <t>Q5</t>
        </is>
      </c>
      <c r="B6" t="n">
        <v>59000</v>
      </c>
      <c r="C6" t="n">
        <v>48173.96</v>
      </c>
      <c r="D6" t="n">
        <v>1.779426994228311</v>
      </c>
      <c r="E6" t="n">
        <v>0.45</v>
      </c>
      <c r="F6" t="n">
        <v>0.394965162026036</v>
      </c>
    </row>
    <row r="7">
      <c r="A7" t="inlineStr">
        <is>
          <t>Q6</t>
        </is>
      </c>
      <c r="B7" t="n">
        <v>70000</v>
      </c>
      <c r="C7" t="n">
        <v>54773.96</v>
      </c>
      <c r="D7" t="n">
        <v>2.484835134467815</v>
      </c>
      <c r="E7" t="n">
        <v>0.45</v>
      </c>
      <c r="F7" t="n">
        <v>0.3847937820618239</v>
      </c>
    </row>
    <row r="8">
      <c r="A8" t="inlineStr">
        <is>
          <t>Q7</t>
        </is>
      </c>
      <c r="B8" t="n">
        <v>74000</v>
      </c>
      <c r="C8" t="n">
        <v>57173.96</v>
      </c>
      <c r="D8" t="n">
        <v>2.838441822741726</v>
      </c>
      <c r="E8" t="n">
        <v>0.45</v>
      </c>
      <c r="F8" t="n">
        <v>0.3748843415806934</v>
      </c>
    </row>
    <row r="9">
      <c r="A9" t="inlineStr">
        <is>
          <t>Q8</t>
        </is>
      </c>
      <c r="B9" t="n">
        <v>56000</v>
      </c>
      <c r="C9" t="n">
        <v>46373.96</v>
      </c>
      <c r="D9" t="n">
        <v>1.699075229763166</v>
      </c>
      <c r="E9" t="n">
        <v>0.45</v>
      </c>
      <c r="F9" t="n">
        <v>0.3652300949598246</v>
      </c>
    </row>
    <row r="10">
      <c r="A10" t="inlineStr">
        <is>
          <t>Sum disc. DPS</t>
        </is>
      </c>
      <c r="F10" t="n">
        <v>3.206932833125878</v>
      </c>
    </row>
    <row r="11">
      <c r="A11" t="inlineStr">
        <is>
          <t>Terminal value (q9)</t>
        </is>
      </c>
      <c r="E11" t="n">
        <v>79.58068985311942</v>
      </c>
      <c r="F11" t="n">
        <v>62.92612625021227</v>
      </c>
    </row>
    <row r="12">
      <c r="A12" t="inlineStr">
        <is>
          <t>DivStrip implied price</t>
        </is>
      </c>
      <c r="F12" t="n">
        <v>66.13305908333815</v>
      </c>
    </row>
    <row r="13">
      <c r="A13" t="inlineStr">
        <is>
          <t>12M FFA strip (front 4q)</t>
        </is>
      </c>
      <c r="B13" t="n">
        <v>77250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TCE \ Vessel</t>
        </is>
      </c>
      <c r="B1" s="1" t="inlineStr">
        <is>
          <t>-20%</t>
        </is>
      </c>
      <c r="C1" s="1" t="inlineStr">
        <is>
          <t>-10%</t>
        </is>
      </c>
      <c r="D1" s="1" t="inlineStr">
        <is>
          <t>+0%</t>
        </is>
      </c>
      <c r="E1" s="1" t="inlineStr">
        <is>
          <t>+10%</t>
        </is>
      </c>
      <c r="F1" s="1" t="inlineStr">
        <is>
          <t>+20%</t>
        </is>
      </c>
    </row>
    <row r="2">
      <c r="A2" t="inlineStr">
        <is>
          <t>-30%</t>
        </is>
      </c>
      <c r="B2" t="n">
        <v>60.32537849359611</v>
      </c>
      <c r="C2" t="n">
        <v>65.75134329041376</v>
      </c>
      <c r="D2" t="n">
        <v>71.17730808723141</v>
      </c>
      <c r="E2" t="n">
        <v>76.60327288404908</v>
      </c>
      <c r="F2" t="n">
        <v>82.02923768086673</v>
      </c>
    </row>
    <row r="3">
      <c r="A3" t="inlineStr">
        <is>
          <t>-15%</t>
        </is>
      </c>
      <c r="B3" t="n">
        <v>61.4045996467654</v>
      </c>
      <c r="C3" t="n">
        <v>66.83056444358306</v>
      </c>
      <c r="D3" t="n">
        <v>72.25652924040071</v>
      </c>
      <c r="E3" t="n">
        <v>77.68249403721838</v>
      </c>
      <c r="F3" t="n">
        <v>83.10845883403601</v>
      </c>
    </row>
    <row r="4">
      <c r="A4" t="inlineStr">
        <is>
          <t>+0%</t>
        </is>
      </c>
      <c r="B4" t="n">
        <v>62.4838207999347</v>
      </c>
      <c r="C4" t="n">
        <v>67.90978559675236</v>
      </c>
      <c r="D4" t="n">
        <v>73.33575039357001</v>
      </c>
      <c r="E4" t="n">
        <v>78.76171519038766</v>
      </c>
      <c r="F4" t="n">
        <v>84.18767998720531</v>
      </c>
    </row>
    <row r="5">
      <c r="A5" t="inlineStr">
        <is>
          <t>+15%</t>
        </is>
      </c>
      <c r="B5" t="n">
        <v>63.56304195310399</v>
      </c>
      <c r="C5" t="n">
        <v>68.98900674992166</v>
      </c>
      <c r="D5" t="n">
        <v>74.41497154673931</v>
      </c>
      <c r="E5" t="n">
        <v>79.84093634355696</v>
      </c>
      <c r="F5" t="n">
        <v>85.26690114037461</v>
      </c>
    </row>
    <row r="6">
      <c r="A6" t="inlineStr">
        <is>
          <t>+30%</t>
        </is>
      </c>
      <c r="B6" t="n">
        <v>64.64226310627329</v>
      </c>
      <c r="C6" t="n">
        <v>70.06822790309094</v>
      </c>
      <c r="D6" t="n">
        <v>75.4941926999086</v>
      </c>
      <c r="E6" t="n">
        <v>80.92015749672626</v>
      </c>
      <c r="F6" t="n">
        <v>86.3461222935439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</cols>
  <sheetData>
    <row r="1">
      <c r="A1" s="1" t="inlineStr">
        <is>
          <t>Dividend payout</t>
        </is>
      </c>
      <c r="B1" s="1" t="inlineStr">
        <is>
          <t>Fair value</t>
        </is>
      </c>
    </row>
    <row r="2">
      <c r="A2" t="n">
        <v>0.8</v>
      </c>
      <c r="B2" t="n">
        <v>73.84999999999999</v>
      </c>
    </row>
    <row r="3">
      <c r="A3" t="n">
        <v>0.95</v>
      </c>
      <c r="B3" t="n">
        <v>73.95</v>
      </c>
    </row>
    <row r="4">
      <c r="A4" t="n">
        <v>1</v>
      </c>
      <c r="B4" t="n">
        <v>73.98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Data validation warnings</t>
        </is>
      </c>
    </row>
    <row r="2">
      <c r="A2" t="inlineStr">
        <is>
          <t>LR2 FFA forward curve is CONSTRUCTED (no market anchor) — built from the 12M TC + spot, not a Baltic / $MT / Worldscale series. Treat its dividend-strip contribution as indicative.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2026-08-08T21:30:48Z</dcterms:created>
  <dcterms:modified xsi:type="dcterms:W3CDTF">2026-08-08T21:30:48Z</dcterms:modified>
</cp:coreProperties>
</file>