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STNG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75.59999999999999</v>
      </c>
    </row>
    <row r="5">
      <c r="A5" s="1" t="inlineStr">
        <is>
          <t>Model fair value</t>
        </is>
      </c>
      <c r="B5" t="n">
        <v>73.99753534943626</v>
      </c>
    </row>
    <row r="6">
      <c r="A6" s="1" t="inlineStr">
        <is>
          <t>Analyst target</t>
        </is>
      </c>
      <c r="B6" t="n">
        <v>94</v>
      </c>
    </row>
    <row r="7">
      <c r="A7" s="1" t="inlineStr">
        <is>
          <t>NAV / share</t>
        </is>
      </c>
      <c r="B7" t="n">
        <v>80.35325948539298</v>
      </c>
    </row>
    <row r="8">
      <c r="A8" s="1" t="inlineStr">
        <is>
          <t>DivStrip implied price</t>
        </is>
      </c>
      <c r="B8" t="n">
        <v>59.16751236553726</v>
      </c>
    </row>
    <row r="9">
      <c r="A9" s="1" t="inlineStr">
        <is>
          <t>12M TC cycle input LR2 ($/day)</t>
        </is>
      </c>
      <c r="B9" t="n">
        <v>56250</v>
      </c>
    </row>
    <row r="10">
      <c r="A10" s="1" t="inlineStr">
        <is>
          <t>12M FFA strip LR2 ($/day)</t>
        </is>
      </c>
      <c r="B10" t="n">
        <v>77250</v>
      </c>
    </row>
    <row r="11">
      <c r="A11" s="1" t="inlineStr">
        <is>
          <t>Cycle position</t>
        </is>
      </c>
      <c r="B11" t="n">
        <v>1.750729472014877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2725019.139206442</v>
      </c>
    </row>
    <row r="16">
      <c r="A16" s="1" t="inlineStr">
        <is>
          <t>Breakeven multiplier (× forward)</t>
        </is>
      </c>
      <c r="B16" t="n">
        <v>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LR2</t>
        </is>
      </c>
      <c r="B2" t="n">
        <v>2099.45537019839</v>
      </c>
    </row>
    <row r="3">
      <c r="A3" t="inlineStr">
        <is>
          <t>Fleet value — MR</t>
        </is>
      </c>
      <c r="B3" t="n">
        <v>1400.084868522487</v>
      </c>
    </row>
    <row r="4">
      <c r="A4" t="inlineStr">
        <is>
          <t>Fleet value — Handymax</t>
        </is>
      </c>
      <c r="B4" t="n">
        <v>205.3333333333333</v>
      </c>
    </row>
    <row r="5">
      <c r="A5" t="inlineStr">
        <is>
          <t>+ Cash &amp; equivalents</t>
        </is>
      </c>
      <c r="B5" t="n">
        <v>984.3</v>
      </c>
    </row>
    <row r="6">
      <c r="A6" t="inlineStr">
        <is>
          <t>+ Working capital (net)</t>
        </is>
      </c>
      <c r="B6" t="n">
        <v>602.8</v>
      </c>
    </row>
    <row r="7">
      <c r="A7" t="inlineStr">
        <is>
          <t>- Total debt</t>
        </is>
      </c>
      <c r="B7" t="n">
        <v>-789.1</v>
      </c>
    </row>
    <row r="8">
      <c r="A8" t="inlineStr">
        <is>
          <t>- Lease liabilities</t>
        </is>
      </c>
      <c r="B8" t="n">
        <v>-0</v>
      </c>
    </row>
    <row r="9">
      <c r="A9" t="inlineStr">
        <is>
          <t>- Newbuild commitments</t>
        </is>
      </c>
      <c r="B9" t="n">
        <v>-572.8</v>
      </c>
    </row>
    <row r="10">
      <c r="A10" t="inlineStr">
        <is>
          <t>+ Newbuild advances</t>
        </is>
      </c>
      <c r="B10" t="n">
        <v>90</v>
      </c>
    </row>
    <row r="11">
      <c r="A11">
        <f> NAV total</f>
        <v/>
      </c>
      <c r="B11" t="n">
        <v>4020.073572054211</v>
      </c>
    </row>
    <row r="12">
      <c r="A12" t="inlineStr">
        <is>
          <t>Diluted shares</t>
        </is>
      </c>
      <c r="B12" t="n">
        <v>50030000</v>
      </c>
    </row>
    <row r="13">
      <c r="A13" t="inlineStr">
        <is>
          <t>NAV / share</t>
        </is>
      </c>
      <c r="B13" t="n">
        <v>80.35325948539298</v>
      </c>
    </row>
    <row r="14">
      <c r="A14" t="inlineStr">
        <is>
          <t>NAV / share (ex yard discount)</t>
        </is>
      </c>
      <c r="B14" t="n">
        <v>80.35325948539298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21" customWidth="1" min="3" max="3"/>
    <col width="20" customWidth="1" min="4" max="4"/>
    <col width="19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LR2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75000</v>
      </c>
      <c r="C2" t="n">
        <v>69375</v>
      </c>
      <c r="D2" t="n">
        <v>3.957938336997801</v>
      </c>
      <c r="E2" t="n">
        <v>0.45</v>
      </c>
      <c r="F2" t="n">
        <v>0.4384113298489001</v>
      </c>
    </row>
    <row r="3">
      <c r="A3" t="inlineStr">
        <is>
          <t>Q2</t>
        </is>
      </c>
      <c r="B3" t="n">
        <v>88000</v>
      </c>
      <c r="C3" t="n">
        <v>80750</v>
      </c>
      <c r="D3" t="n">
        <v>5.395030081950829</v>
      </c>
      <c r="E3" t="n">
        <v>0.45</v>
      </c>
      <c r="F3" t="n">
        <v>0.4271210980886246</v>
      </c>
    </row>
    <row r="4">
      <c r="A4" t="inlineStr">
        <is>
          <t>Q3</t>
        </is>
      </c>
      <c r="B4" t="n">
        <v>82000</v>
      </c>
      <c r="C4" t="n">
        <v>75500</v>
      </c>
      <c r="D4" t="n">
        <v>4.898125224865081</v>
      </c>
      <c r="E4" t="n">
        <v>0.45</v>
      </c>
      <c r="F4" t="n">
        <v>0.4161216191545697</v>
      </c>
    </row>
    <row r="5">
      <c r="A5" t="inlineStr">
        <is>
          <t>Q4</t>
        </is>
      </c>
      <c r="B5" t="n">
        <v>64000</v>
      </c>
      <c r="C5" t="n">
        <v>59750</v>
      </c>
      <c r="D5" t="n">
        <v>3.112485108934639</v>
      </c>
      <c r="E5" t="n">
        <v>0.45</v>
      </c>
      <c r="F5" t="n">
        <v>0.4054054054054054</v>
      </c>
    </row>
    <row r="6">
      <c r="A6" t="inlineStr">
        <is>
          <t>Q5</t>
        </is>
      </c>
      <c r="B6" t="n">
        <v>59000</v>
      </c>
      <c r="C6" t="n">
        <v>55375</v>
      </c>
      <c r="D6" t="n">
        <v>2.763936737957226</v>
      </c>
      <c r="E6" t="n">
        <v>0.45</v>
      </c>
      <c r="F6" t="n">
        <v>0.394965162026036</v>
      </c>
    </row>
    <row r="7">
      <c r="A7" t="inlineStr">
        <is>
          <t>Q6</t>
        </is>
      </c>
      <c r="B7" t="n">
        <v>70000</v>
      </c>
      <c r="C7" t="n">
        <v>65000</v>
      </c>
      <c r="D7" t="n">
        <v>3.806006995802519</v>
      </c>
      <c r="E7" t="n">
        <v>0.45</v>
      </c>
      <c r="F7" t="n">
        <v>0.3847937820618239</v>
      </c>
    </row>
    <row r="8">
      <c r="A8" t="inlineStr">
        <is>
          <t>Q7</t>
        </is>
      </c>
      <c r="B8" t="n">
        <v>74000</v>
      </c>
      <c r="C8" t="n">
        <v>68500</v>
      </c>
      <c r="D8" t="n">
        <v>4.301124425344793</v>
      </c>
      <c r="E8" t="n">
        <v>0.45</v>
      </c>
      <c r="F8" t="n">
        <v>0.3748843415806934</v>
      </c>
    </row>
    <row r="9">
      <c r="A9" t="inlineStr">
        <is>
          <t>Q8</t>
        </is>
      </c>
      <c r="B9" t="n">
        <v>56000</v>
      </c>
      <c r="C9" t="n">
        <v>52750</v>
      </c>
      <c r="D9" t="n">
        <v>2.613792824305417</v>
      </c>
      <c r="E9" t="n">
        <v>0.45</v>
      </c>
      <c r="F9" t="n">
        <v>0.3652300949598246</v>
      </c>
    </row>
    <row r="10">
      <c r="A10" t="inlineStr">
        <is>
          <t>Sum disc. DPS</t>
        </is>
      </c>
      <c r="F10" t="n">
        <v>3.206932833125878</v>
      </c>
    </row>
    <row r="11">
      <c r="A11" t="inlineStr">
        <is>
          <t>Terminal value (q9)</t>
        </is>
      </c>
      <c r="E11" t="n">
        <v>70.77158231640915</v>
      </c>
      <c r="F11" t="n">
        <v>55.96057953241138</v>
      </c>
    </row>
    <row r="12">
      <c r="A12" t="inlineStr">
        <is>
          <t>DivStrip implied price</t>
        </is>
      </c>
      <c r="F12" t="n">
        <v>59.16751236553726</v>
      </c>
    </row>
    <row r="13">
      <c r="A13" t="inlineStr">
        <is>
          <t>12M FFA strip (front 4q)</t>
        </is>
      </c>
      <c r="B13" t="n">
        <v>77250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19" customWidth="1" min="3" max="3"/>
    <col width="19" customWidth="1" min="4" max="4"/>
    <col width="19" customWidth="1" min="5" max="5"/>
    <col width="18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60.57137801737341</v>
      </c>
      <c r="C2" t="n">
        <v>67.28445668340483</v>
      </c>
      <c r="D2" t="n">
        <v>73.99753534943626</v>
      </c>
      <c r="E2" t="n">
        <v>80.71061401546768</v>
      </c>
      <c r="F2" t="n">
        <v>87.42369268149911</v>
      </c>
    </row>
    <row r="3">
      <c r="A3" t="inlineStr">
        <is>
          <t>-15%</t>
        </is>
      </c>
      <c r="B3" t="n">
        <v>60.57137801737341</v>
      </c>
      <c r="C3" t="n">
        <v>67.28445668340483</v>
      </c>
      <c r="D3" t="n">
        <v>73.99753534943626</v>
      </c>
      <c r="E3" t="n">
        <v>80.71061401546768</v>
      </c>
      <c r="F3" t="n">
        <v>87.42369268149911</v>
      </c>
    </row>
    <row r="4">
      <c r="A4" t="inlineStr">
        <is>
          <t>+0%</t>
        </is>
      </c>
      <c r="B4" t="n">
        <v>60.57137801737341</v>
      </c>
      <c r="C4" t="n">
        <v>67.28445668340483</v>
      </c>
      <c r="D4" t="n">
        <v>73.99753534943626</v>
      </c>
      <c r="E4" t="n">
        <v>80.71061401546768</v>
      </c>
      <c r="F4" t="n">
        <v>87.42369268149911</v>
      </c>
    </row>
    <row r="5">
      <c r="A5" t="inlineStr">
        <is>
          <t>+15%</t>
        </is>
      </c>
      <c r="B5" t="n">
        <v>60.57137801737341</v>
      </c>
      <c r="C5" t="n">
        <v>67.28445668340483</v>
      </c>
      <c r="D5" t="n">
        <v>73.99753534943626</v>
      </c>
      <c r="E5" t="n">
        <v>80.71061401546768</v>
      </c>
      <c r="F5" t="n">
        <v>87.42369268149911</v>
      </c>
    </row>
    <row r="6">
      <c r="A6" t="inlineStr">
        <is>
          <t>+30%</t>
        </is>
      </c>
      <c r="B6" t="n">
        <v>60.57137801737341</v>
      </c>
      <c r="C6" t="n">
        <v>67.28445668340483</v>
      </c>
      <c r="D6" t="n">
        <v>73.99753534943626</v>
      </c>
      <c r="E6" t="n">
        <v>80.71061401546768</v>
      </c>
      <c r="F6" t="n">
        <v>87.42369268149911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80.64</v>
      </c>
    </row>
    <row r="3">
      <c r="A3" t="n">
        <v>0.95</v>
      </c>
      <c r="B3" t="n">
        <v>81.89</v>
      </c>
    </row>
    <row r="4">
      <c r="A4" t="n">
        <v>1</v>
      </c>
      <c r="B4" t="n">
        <v>82.31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  <row r="3">
      <c r="A3" t="inlineStr">
        <is>
          <t>LR2 FFA forward curve is CONSTRUCTED (no market anchor) — built from the 12M TC + spot, not a Baltic / $MT / Worldscale series. Treat its dividend-strip contribution as indicative.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2026-06-10T13:25:10Z</dcterms:created>
  <dcterms:modified xsi:type="dcterms:W3CDTF">2026-06-10T13:25:10Z</dcterms:modified>
</cp:coreProperties>
</file>