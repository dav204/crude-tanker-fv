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TRMD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29.08</v>
      </c>
    </row>
    <row r="5">
      <c r="A5" s="1" t="inlineStr">
        <is>
          <t>Model fair value</t>
        </is>
      </c>
      <c r="B5" t="n">
        <v>30.93760899160785</v>
      </c>
    </row>
    <row r="6">
      <c r="A6" s="1" t="inlineStr">
        <is>
          <t>Analyst target</t>
        </is>
      </c>
      <c r="B6" t="n">
        <v>25</v>
      </c>
    </row>
    <row r="7">
      <c r="A7" s="1" t="inlineStr">
        <is>
          <t>NAV / share</t>
        </is>
      </c>
      <c r="B7" t="n">
        <v>30.30255258881536</v>
      </c>
    </row>
    <row r="8">
      <c r="A8" s="1" t="inlineStr">
        <is>
          <t>DivStrip implied price</t>
        </is>
      </c>
      <c r="B8" t="n">
        <v>32.41940726479032</v>
      </c>
    </row>
    <row r="9">
      <c r="A9" s="1" t="inlineStr">
        <is>
          <t>12M TC cycle input MR ($/day)</t>
        </is>
      </c>
      <c r="B9" t="n">
        <v>22000</v>
      </c>
    </row>
    <row r="10">
      <c r="A10" s="1" t="inlineStr">
        <is>
          <t>12M FFA strip MR ($/day)</t>
        </is>
      </c>
      <c r="B10" t="n">
        <v>24750</v>
      </c>
    </row>
    <row r="11">
      <c r="A11" s="1" t="inlineStr">
        <is>
          <t>Cycle position</t>
        </is>
      </c>
      <c r="B11" t="n">
        <v>1.673354290778231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34967.78359968375</v>
      </c>
    </row>
    <row r="16">
      <c r="A16" s="1" t="inlineStr">
        <is>
          <t>Breakeven multiplier (× forward)</t>
        </is>
      </c>
      <c r="B16" t="n">
        <v>0.7227908197375039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LR2</t>
        </is>
      </c>
      <c r="B2" t="n">
        <v>1364.403395742782</v>
      </c>
    </row>
    <row r="3">
      <c r="A3" t="inlineStr">
        <is>
          <t>Fleet value — LR1</t>
        </is>
      </c>
      <c r="B3" t="n">
        <v>342.2533333333334</v>
      </c>
    </row>
    <row r="4">
      <c r="A4" t="inlineStr">
        <is>
          <t>Fleet value — MR</t>
        </is>
      </c>
      <c r="B4" t="n">
        <v>2085.296953348511</v>
      </c>
    </row>
    <row r="5">
      <c r="A5" t="inlineStr">
        <is>
          <t>+ Cash &amp; equivalents</t>
        </is>
      </c>
      <c r="B5" t="n">
        <v>196.4</v>
      </c>
    </row>
    <row r="6">
      <c r="A6" t="inlineStr">
        <is>
          <t>+ Working capital (net)</t>
        </is>
      </c>
      <c r="B6" t="n">
        <v>254.9</v>
      </c>
    </row>
    <row r="7">
      <c r="A7" t="inlineStr">
        <is>
          <t>- Total debt</t>
        </is>
      </c>
      <c r="B7" t="n">
        <v>-1081.8</v>
      </c>
    </row>
    <row r="8">
      <c r="A8" t="inlineStr">
        <is>
          <t>- Lease liabilities</t>
        </is>
      </c>
      <c r="B8" t="n">
        <v>-0</v>
      </c>
    </row>
    <row r="9">
      <c r="A9" t="inlineStr">
        <is>
          <t>- Newbuild commitments</t>
        </is>
      </c>
      <c r="B9" t="n">
        <v>-31.2</v>
      </c>
    </row>
    <row r="10">
      <c r="A10" t="inlineStr">
        <is>
          <t>+ Newbuild advances</t>
        </is>
      </c>
      <c r="B10" t="n">
        <v>0</v>
      </c>
    </row>
    <row r="11">
      <c r="A11">
        <f> NAV total</f>
        <v/>
      </c>
      <c r="B11" t="n">
        <v>3130.253682424626</v>
      </c>
    </row>
    <row r="12">
      <c r="A12" t="inlineStr">
        <is>
          <t>Diluted shares</t>
        </is>
      </c>
      <c r="B12" t="n">
        <v>103300000</v>
      </c>
    </row>
    <row r="13">
      <c r="A13" t="inlineStr">
        <is>
          <t>NAV / share</t>
        </is>
      </c>
      <c r="B13" t="n">
        <v>30.30255258881536</v>
      </c>
    </row>
    <row r="14">
      <c r="A14" t="inlineStr">
        <is>
          <t>NAV / share (ex yard discount)</t>
        </is>
      </c>
      <c r="B14" t="n">
        <v>30.30255258881536</v>
      </c>
    </row>
    <row r="15">
      <c r="A15" t="inlineStr">
        <is>
          <t>Yard-discount impact / share</t>
        </is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MR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22000</v>
      </c>
      <c r="C2" t="n">
        <v>22000</v>
      </c>
      <c r="D2" t="n">
        <v>2.188333509983059</v>
      </c>
      <c r="E2" t="n">
        <v>1.641250132487294</v>
      </c>
      <c r="F2" t="n">
        <v>1.598983673774307</v>
      </c>
    </row>
    <row r="3">
      <c r="A3" t="inlineStr">
        <is>
          <t>Q2</t>
        </is>
      </c>
      <c r="B3" t="n">
        <v>30000</v>
      </c>
      <c r="C3" t="n">
        <v>30000</v>
      </c>
      <c r="D3" t="n">
        <v>2.986458127601646</v>
      </c>
      <c r="E3" t="n">
        <v>2.239843595701235</v>
      </c>
      <c r="F3" t="n">
        <v>2.125965458094855</v>
      </c>
    </row>
    <row r="4">
      <c r="A4" t="inlineStr">
        <is>
          <t>Q3</t>
        </is>
      </c>
      <c r="B4" t="n">
        <v>28000</v>
      </c>
      <c r="C4" t="n">
        <v>28000</v>
      </c>
      <c r="D4" t="n">
        <v>2.711889615984995</v>
      </c>
      <c r="E4" t="n">
        <v>2.033917211988746</v>
      </c>
      <c r="F4" t="n">
        <v>1.880793163286901</v>
      </c>
    </row>
    <row r="5">
      <c r="A5" t="inlineStr">
        <is>
          <t>Q4</t>
        </is>
      </c>
      <c r="B5" t="n">
        <v>19000</v>
      </c>
      <c r="C5" t="n">
        <v>19000</v>
      </c>
      <c r="D5" t="n">
        <v>1.721908119131171</v>
      </c>
      <c r="E5" t="n">
        <v>1.291431089348378</v>
      </c>
      <c r="F5" t="n">
        <v>1.163451431845386</v>
      </c>
    </row>
    <row r="6">
      <c r="A6" t="inlineStr">
        <is>
          <t>Q5</t>
        </is>
      </c>
      <c r="B6" t="n">
        <v>18000</v>
      </c>
      <c r="C6" t="n">
        <v>18000</v>
      </c>
      <c r="D6" t="n">
        <v>1.530051239895934</v>
      </c>
      <c r="E6" t="n">
        <v>1.147538429921951</v>
      </c>
      <c r="F6" t="n">
        <v>1.007194893122725</v>
      </c>
    </row>
    <row r="7">
      <c r="A7" t="inlineStr">
        <is>
          <t>Q6</t>
        </is>
      </c>
      <c r="B7" t="n">
        <v>23000</v>
      </c>
      <c r="C7" t="n">
        <v>23000</v>
      </c>
      <c r="D7" t="n">
        <v>2.107327272083737</v>
      </c>
      <c r="E7" t="n">
        <v>1.580495454062802</v>
      </c>
      <c r="F7" t="n">
        <v>1.351477385111878</v>
      </c>
    </row>
    <row r="8">
      <c r="A8" t="inlineStr">
        <is>
          <t>Q7</t>
        </is>
      </c>
      <c r="B8" t="n">
        <v>26000</v>
      </c>
      <c r="C8" t="n">
        <v>26000</v>
      </c>
      <c r="D8" t="n">
        <v>2.382748480941433</v>
      </c>
      <c r="E8" t="n">
        <v>1.787061360706075</v>
      </c>
      <c r="F8" t="n">
        <v>1.488758492383544</v>
      </c>
    </row>
    <row r="9">
      <c r="A9" t="inlineStr">
        <is>
          <t>Q8</t>
        </is>
      </c>
      <c r="B9" t="n">
        <v>18000</v>
      </c>
      <c r="C9" t="n">
        <v>18000</v>
      </c>
      <c r="D9" t="n">
        <v>1.448192304755566</v>
      </c>
      <c r="E9" t="n">
        <v>1.086144228566675</v>
      </c>
      <c r="F9" t="n">
        <v>0.8815390216432715</v>
      </c>
    </row>
    <row r="10">
      <c r="A10" t="inlineStr">
        <is>
          <t>Sum disc. DPS</t>
        </is>
      </c>
      <c r="F10" t="n">
        <v>11.49816351926287</v>
      </c>
    </row>
    <row r="11">
      <c r="A11" t="inlineStr">
        <is>
          <t>Terminal value (q9)</t>
        </is>
      </c>
      <c r="E11" t="n">
        <v>26.45843799813943</v>
      </c>
      <c r="F11" t="n">
        <v>20.92124374552746</v>
      </c>
    </row>
    <row r="12">
      <c r="A12" t="inlineStr">
        <is>
          <t>DivStrip implied price</t>
        </is>
      </c>
      <c r="F12" t="n">
        <v>32.41940726479032</v>
      </c>
    </row>
    <row r="13">
      <c r="A13" t="inlineStr">
        <is>
          <t>12M FFA strip (front 4q)</t>
        </is>
      </c>
      <c r="B13" t="n">
        <v>24750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22.43150098508891</v>
      </c>
      <c r="C2" t="n">
        <v>25.67938860649434</v>
      </c>
      <c r="D2" t="n">
        <v>28.92727622789977</v>
      </c>
      <c r="E2" t="n">
        <v>32.1751638493052</v>
      </c>
      <c r="F2" t="n">
        <v>35.42305147071063</v>
      </c>
    </row>
    <row r="3">
      <c r="A3" t="inlineStr">
        <is>
          <t>-15%</t>
        </is>
      </c>
      <c r="B3" t="n">
        <v>23.43666736694295</v>
      </c>
      <c r="C3" t="n">
        <v>26.68455498834838</v>
      </c>
      <c r="D3" t="n">
        <v>29.93244260975381</v>
      </c>
      <c r="E3" t="n">
        <v>33.18033023115924</v>
      </c>
      <c r="F3" t="n">
        <v>36.42821785256466</v>
      </c>
    </row>
    <row r="4">
      <c r="A4" t="inlineStr">
        <is>
          <t>+0%</t>
        </is>
      </c>
      <c r="B4" t="n">
        <v>24.44183374879698</v>
      </c>
      <c r="C4" t="n">
        <v>27.68972137020242</v>
      </c>
      <c r="D4" t="n">
        <v>30.93760899160785</v>
      </c>
      <c r="E4" t="n">
        <v>34.18549661301328</v>
      </c>
      <c r="F4" t="n">
        <v>37.4333842344187</v>
      </c>
    </row>
    <row r="5">
      <c r="A5" t="inlineStr">
        <is>
          <t>+15%</t>
        </is>
      </c>
      <c r="B5" t="n">
        <v>25.44700013065103</v>
      </c>
      <c r="C5" t="n">
        <v>28.69488775205646</v>
      </c>
      <c r="D5" t="n">
        <v>31.94277537346188</v>
      </c>
      <c r="E5" t="n">
        <v>35.19066299486732</v>
      </c>
      <c r="F5" t="n">
        <v>38.43855061627274</v>
      </c>
    </row>
    <row r="6">
      <c r="A6" t="inlineStr">
        <is>
          <t>+30%</t>
        </is>
      </c>
      <c r="B6" t="n">
        <v>26.45216651250506</v>
      </c>
      <c r="C6" t="n">
        <v>29.70005413391049</v>
      </c>
      <c r="D6" t="n">
        <v>32.94794175531592</v>
      </c>
      <c r="E6" t="n">
        <v>36.19582937672136</v>
      </c>
      <c r="F6" t="n">
        <v>39.44371699812678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30.97</v>
      </c>
    </row>
    <row r="3">
      <c r="A3" t="n">
        <v>0.95</v>
      </c>
      <c r="B3" t="n">
        <v>31.05</v>
      </c>
    </row>
    <row r="4">
      <c r="A4" t="n">
        <v>1</v>
      </c>
      <c r="B4" t="n">
        <v>31.07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LR2 FFA forward curve is CONSTRUCTED (no market anchor) — built from the 12M TC + spot, not a Baltic / $MT / Worldscale series. Treat its dividend-strip contribution as indicative.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2026-07-22T21:56:18Z</dcterms:created>
  <dcterms:modified xsi:type="dcterms:W3CDTF">2026-07-22T21:56:18Z</dcterms:modified>
</cp:coreProperties>
</file>