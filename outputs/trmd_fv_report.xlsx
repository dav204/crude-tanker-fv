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ummary" sheetId="1" state="visible" r:id="rId1"/>
    <sheet name="NAV" sheetId="2" state="visible" r:id="rId2"/>
    <sheet name="DivStrip" sheetId="3" state="visible" r:id="rId3"/>
    <sheet name="Sensitivity" sheetId="4" state="visible" r:id="rId4"/>
    <sheet name="Payout" sheetId="5" state="visible" r:id="rId5"/>
    <sheet name="Warnings" sheetId="6" state="visible" r:id="rId6"/>
  </sheets>
  <definedNames/>
  <calcPr calcId="124519" fullCalcOnLoad="1"/>
</workbook>
</file>

<file path=xl/styles.xml><?xml version="1.0" encoding="utf-8"?>
<styleSheet xmlns="http://schemas.openxmlformats.org/spreadsheetml/2006/main">
  <numFmts count="0"/>
  <fonts count="2">
    <font>
      <name val="Calibri"/>
      <family val="2"/>
      <color theme="1"/>
      <sz val="11"/>
      <scheme val="minor"/>
    </font>
    <font>
      <b val="1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2">
    <xf numFmtId="0" fontId="0" fillId="0" borderId="0" pivotButton="0" quotePrefix="0" xfId="0"/>
    <xf numFmtId="0" fontId="1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styles" Target="styles.xml" Id="rId7" /><Relationship Type="http://schemas.openxmlformats.org/officeDocument/2006/relationships/theme" Target="theme/theme1.xml" Id="rId8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B16"/>
  <sheetViews>
    <sheetView workbookViewId="0">
      <selection activeCell="A1" sqref="A1"/>
    </sheetView>
  </sheetViews>
  <sheetFormatPr baseColWidth="8" defaultRowHeight="15"/>
  <cols>
    <col width="35" customWidth="1" min="1" max="1"/>
    <col width="20" customWidth="1" min="2" max="2"/>
  </cols>
  <sheetData>
    <row r="1">
      <c r="A1" s="1" t="inlineStr">
        <is>
          <t>Ticker</t>
        </is>
      </c>
      <c r="B1" t="inlineStr">
        <is>
          <t>TRMD</t>
        </is>
      </c>
    </row>
    <row r="2">
      <c r="A2" s="1" t="inlineStr">
        <is>
          <t>Valuation basis</t>
        </is>
      </c>
      <c r="B2" t="inlineStr">
        <is>
          <t>whole-company</t>
        </is>
      </c>
    </row>
    <row r="3">
      <c r="A3" s="1" t="inlineStr">
        <is>
          <t>Report date</t>
        </is>
      </c>
      <c r="B3" t="inlineStr">
        <is>
          <t>2026-Q1</t>
        </is>
      </c>
    </row>
    <row r="4">
      <c r="A4" s="1" t="inlineStr">
        <is>
          <t>Current price</t>
        </is>
      </c>
      <c r="B4" t="n">
        <v>30.08</v>
      </c>
    </row>
    <row r="5">
      <c r="A5" s="1" t="inlineStr">
        <is>
          <t>Model fair value</t>
        </is>
      </c>
      <c r="B5" t="n">
        <v>29.97814408611653</v>
      </c>
    </row>
    <row r="6">
      <c r="A6" s="1" t="inlineStr">
        <is>
          <t>Analyst target</t>
        </is>
      </c>
      <c r="B6" t="n">
        <v>25</v>
      </c>
    </row>
    <row r="7">
      <c r="A7" s="1" t="inlineStr">
        <is>
          <t>NAV / share</t>
        </is>
      </c>
      <c r="B7" t="n">
        <v>30.21852366130043</v>
      </c>
    </row>
    <row r="8">
      <c r="A8" s="1" t="inlineStr">
        <is>
          <t>DivStrip implied price</t>
        </is>
      </c>
      <c r="B8" t="n">
        <v>29.41725841068745</v>
      </c>
    </row>
    <row r="9">
      <c r="A9" s="1" t="inlineStr">
        <is>
          <t>12M TC cycle input MR ($/day)</t>
        </is>
      </c>
      <c r="B9" t="n">
        <v>29250</v>
      </c>
    </row>
    <row r="10">
      <c r="A10" s="1" t="inlineStr">
        <is>
          <t>12M FFA strip MR ($/day)</t>
        </is>
      </c>
      <c r="B10" t="n">
        <v>29275</v>
      </c>
    </row>
    <row r="11">
      <c r="A11" s="1" t="inlineStr">
        <is>
          <t>Cycle position</t>
        </is>
      </c>
      <c r="B11" t="n">
        <v>1.844281188865286</v>
      </c>
    </row>
    <row r="12">
      <c r="A12" s="1" t="inlineStr">
        <is>
          <t>Cycle band</t>
        </is>
      </c>
      <c r="B12" t="inlineStr">
        <is>
          <t>late-cycle/peak</t>
        </is>
      </c>
    </row>
    <row r="13">
      <c r="A13" s="1" t="inlineStr">
        <is>
          <t>w_nav</t>
        </is>
      </c>
      <c r="B13" t="n">
        <v>0.7</v>
      </c>
    </row>
    <row r="14">
      <c r="A14" s="1" t="inlineStr">
        <is>
          <t>w_earn</t>
        </is>
      </c>
      <c r="B14" t="n">
        <v>0.3</v>
      </c>
    </row>
    <row r="15">
      <c r="A15" s="1" t="inlineStr">
        <is>
          <t>Implied breakeven blended ($/day)</t>
        </is>
      </c>
      <c r="B15" t="n">
        <v>41844.11933210713</v>
      </c>
    </row>
    <row r="16">
      <c r="A16" s="1" t="inlineStr">
        <is>
          <t>Breakeven multiplier (× forward)</t>
        </is>
      </c>
      <c r="B16" t="n">
        <v>1.017520258602173</v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B15"/>
  <sheetViews>
    <sheetView workbookViewId="0">
      <selection activeCell="A1" sqref="A1"/>
    </sheetView>
  </sheetViews>
  <sheetFormatPr baseColWidth="8" defaultRowHeight="15"/>
  <cols>
    <col width="32" customWidth="1" min="1" max="1"/>
    <col width="20" customWidth="1" min="2" max="2"/>
  </cols>
  <sheetData>
    <row r="1">
      <c r="A1" s="1" t="inlineStr">
        <is>
          <t>Item</t>
        </is>
      </c>
      <c r="B1" s="1" t="inlineStr">
        <is>
          <t>$M</t>
        </is>
      </c>
    </row>
    <row r="2">
      <c r="A2" t="inlineStr">
        <is>
          <t>Fleet value — LR2</t>
        </is>
      </c>
      <c r="B2" t="n">
        <v>1355.72320753049</v>
      </c>
    </row>
    <row r="3">
      <c r="A3" t="inlineStr">
        <is>
          <t>Fleet value — LR1</t>
        </is>
      </c>
      <c r="B3" t="n">
        <v>342.2533333333334</v>
      </c>
    </row>
    <row r="4">
      <c r="A4" t="inlineStr">
        <is>
          <t>Fleet value — MR</t>
        </is>
      </c>
      <c r="B4" t="n">
        <v>2085.296953348511</v>
      </c>
    </row>
    <row r="5">
      <c r="A5" t="inlineStr">
        <is>
          <t>+ Cash &amp; equivalents</t>
        </is>
      </c>
      <c r="B5" t="n">
        <v>196.4</v>
      </c>
    </row>
    <row r="6">
      <c r="A6" t="inlineStr">
        <is>
          <t>+ Working capital (net)</t>
        </is>
      </c>
      <c r="B6" t="n">
        <v>254.9</v>
      </c>
    </row>
    <row r="7">
      <c r="A7" t="inlineStr">
        <is>
          <t>- Total debt</t>
        </is>
      </c>
      <c r="B7" t="n">
        <v>-1081.8</v>
      </c>
    </row>
    <row r="8">
      <c r="A8" t="inlineStr">
        <is>
          <t>- Lease liabilities</t>
        </is>
      </c>
      <c r="B8" t="n">
        <v>-0</v>
      </c>
    </row>
    <row r="9">
      <c r="A9" t="inlineStr">
        <is>
          <t>- Newbuild commitments</t>
        </is>
      </c>
      <c r="B9" t="n">
        <v>-31.2</v>
      </c>
    </row>
    <row r="10">
      <c r="A10" t="inlineStr">
        <is>
          <t>+ Newbuild advances</t>
        </is>
      </c>
      <c r="B10" t="n">
        <v>0</v>
      </c>
    </row>
    <row r="11">
      <c r="A11">
        <f> NAV total</f>
        <v/>
      </c>
      <c r="B11" t="n">
        <v>3121.573494212334</v>
      </c>
    </row>
    <row r="12">
      <c r="A12" t="inlineStr">
        <is>
          <t>Diluted shares</t>
        </is>
      </c>
      <c r="B12" t="n">
        <v>103300000</v>
      </c>
    </row>
    <row r="13">
      <c r="A13" t="inlineStr">
        <is>
          <t>NAV / share</t>
        </is>
      </c>
      <c r="B13" t="n">
        <v>30.21852366130043</v>
      </c>
    </row>
    <row r="14">
      <c r="A14" t="inlineStr">
        <is>
          <t>NAV / share (ex yard discount)</t>
        </is>
      </c>
      <c r="B14" t="n">
        <v>30.21852366130043</v>
      </c>
    </row>
    <row r="15">
      <c r="A15" t="inlineStr">
        <is>
          <t>Yard-discount impact / share</t>
        </is>
      </c>
      <c r="B15" t="n">
        <v>0</v>
      </c>
    </row>
  </sheetData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F13"/>
  <sheetViews>
    <sheetView workbookViewId="0">
      <selection activeCell="A1" sqref="A1"/>
    </sheetView>
  </sheetViews>
  <sheetFormatPr baseColWidth="8" defaultRowHeight="15"/>
  <cols>
    <col width="26" customWidth="1" min="1" max="1"/>
    <col width="21" customWidth="1" min="2" max="2"/>
    <col width="21" customWidth="1" min="3" max="3"/>
    <col width="20" customWidth="1" min="4" max="4"/>
    <col width="20" customWidth="1" min="5" max="5"/>
    <col width="20" customWidth="1" min="6" max="6"/>
  </cols>
  <sheetData>
    <row r="1">
      <c r="A1" s="1" t="inlineStr">
        <is>
          <t>Quarter</t>
        </is>
      </c>
      <c r="B1" s="1" t="inlineStr">
        <is>
          <t>FFA spot MR ($/day)</t>
        </is>
      </c>
      <c r="C1" s="1" t="inlineStr">
        <is>
          <t>Blended TCE ($/day)</t>
        </is>
      </c>
      <c r="D1" s="1" t="inlineStr">
        <is>
          <t>EPS</t>
        </is>
      </c>
      <c r="E1" s="1" t="inlineStr">
        <is>
          <t>DPS</t>
        </is>
      </c>
      <c r="F1" s="1" t="inlineStr">
        <is>
          <t>Disc. DPS</t>
        </is>
      </c>
    </row>
    <row r="2">
      <c r="A2" t="inlineStr">
        <is>
          <t>Q1</t>
        </is>
      </c>
      <c r="B2" t="n">
        <v>29300</v>
      </c>
      <c r="C2" t="n">
        <v>29300</v>
      </c>
      <c r="D2" t="n">
        <v>2.180915043985963</v>
      </c>
      <c r="E2" t="n">
        <v>1.635686282989472</v>
      </c>
      <c r="F2" t="n">
        <v>1.593563107868931</v>
      </c>
    </row>
    <row r="3">
      <c r="A3" t="inlineStr">
        <is>
          <t>Q2</t>
        </is>
      </c>
      <c r="B3" t="n">
        <v>29300</v>
      </c>
      <c r="C3" t="n">
        <v>29300</v>
      </c>
      <c r="D3" t="n">
        <v>2.180915043985963</v>
      </c>
      <c r="E3" t="n">
        <v>1.635686282989472</v>
      </c>
      <c r="F3" t="n">
        <v>1.552524714042143</v>
      </c>
    </row>
    <row r="4">
      <c r="A4" t="inlineStr">
        <is>
          <t>Q3</t>
        </is>
      </c>
      <c r="B4" t="n">
        <v>29250</v>
      </c>
      <c r="C4" t="n">
        <v>29250</v>
      </c>
      <c r="D4" t="n">
        <v>1.947574443973862</v>
      </c>
      <c r="E4" t="n">
        <v>1.460680832980397</v>
      </c>
      <c r="F4" t="n">
        <v>1.350713051750774</v>
      </c>
    </row>
    <row r="5">
      <c r="A5" t="inlineStr">
        <is>
          <t>Q4</t>
        </is>
      </c>
      <c r="B5" t="n">
        <v>29250</v>
      </c>
      <c r="C5" t="n">
        <v>29250</v>
      </c>
      <c r="D5" t="n">
        <v>1.947574443973862</v>
      </c>
      <c r="E5" t="n">
        <v>1.460680832980397</v>
      </c>
      <c r="F5" t="n">
        <v>1.315928678360718</v>
      </c>
    </row>
    <row r="6">
      <c r="A6" t="inlineStr">
        <is>
          <t>Q5</t>
        </is>
      </c>
      <c r="B6" t="n">
        <v>25000</v>
      </c>
      <c r="C6" t="n">
        <v>25000</v>
      </c>
      <c r="D6" t="n">
        <v>1.345015938589061</v>
      </c>
      <c r="E6" t="n">
        <v>1.008761953941796</v>
      </c>
      <c r="F6" t="n">
        <v>0.8853907301873826</v>
      </c>
    </row>
    <row r="7">
      <c r="A7" t="inlineStr">
        <is>
          <t>Q6</t>
        </is>
      </c>
      <c r="B7" t="n">
        <v>25000</v>
      </c>
      <c r="C7" t="n">
        <v>25000</v>
      </c>
      <c r="D7" t="n">
        <v>1.345015938589061</v>
      </c>
      <c r="E7" t="n">
        <v>1.008761953941796</v>
      </c>
      <c r="F7" t="n">
        <v>0.8625896165718645</v>
      </c>
    </row>
    <row r="8">
      <c r="A8" t="inlineStr">
        <is>
          <t>Q7</t>
        </is>
      </c>
      <c r="B8" t="n">
        <v>25000</v>
      </c>
      <c r="C8" t="n">
        <v>25000</v>
      </c>
      <c r="D8" t="n">
        <v>1.345015938589061</v>
      </c>
      <c r="E8" t="n">
        <v>1.008761953941796</v>
      </c>
      <c r="F8" t="n">
        <v>0.8403756909224976</v>
      </c>
    </row>
    <row r="9">
      <c r="A9" t="inlineStr">
        <is>
          <t>Q8</t>
        </is>
      </c>
      <c r="B9" t="n">
        <v>25000</v>
      </c>
      <c r="C9" t="n">
        <v>25000</v>
      </c>
      <c r="D9" t="n">
        <v>1.345015938589061</v>
      </c>
      <c r="E9" t="n">
        <v>1.008761953941796</v>
      </c>
      <c r="F9" t="n">
        <v>0.8187338316222675</v>
      </c>
    </row>
    <row r="10">
      <c r="A10" t="inlineStr">
        <is>
          <t>Sum disc. DPS</t>
        </is>
      </c>
      <c r="F10" t="n">
        <v>9.219819421326578</v>
      </c>
    </row>
    <row r="11">
      <c r="A11" t="inlineStr">
        <is>
          <t>Terminal value (q9)</t>
        </is>
      </c>
      <c r="E11" t="n">
        <v>25.54306492105427</v>
      </c>
      <c r="F11" t="n">
        <v>20.19743898936087</v>
      </c>
    </row>
    <row r="12">
      <c r="A12" t="inlineStr">
        <is>
          <t>DivStrip implied price</t>
        </is>
      </c>
      <c r="F12" t="n">
        <v>29.41725841068745</v>
      </c>
    </row>
    <row r="13">
      <c r="A13" t="inlineStr">
        <is>
          <t>12M FFA strip (front 4q)</t>
        </is>
      </c>
      <c r="B13" t="n">
        <v>29275</v>
      </c>
    </row>
  </sheetData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F6"/>
  <sheetViews>
    <sheetView workbookViewId="0">
      <selection activeCell="A1" sqref="A1"/>
    </sheetView>
  </sheetViews>
  <sheetFormatPr baseColWidth="8" defaultRowHeight="15"/>
  <cols>
    <col width="14" customWidth="1" min="1" max="1"/>
    <col width="20" customWidth="1" min="2" max="2"/>
    <col width="20" customWidth="1" min="3" max="3"/>
    <col width="20" customWidth="1" min="4" max="4"/>
    <col width="20" customWidth="1" min="5" max="5"/>
    <col width="19" customWidth="1" min="6" max="6"/>
  </cols>
  <sheetData>
    <row r="1">
      <c r="A1" s="1" t="inlineStr">
        <is>
          <t>TCE \ Vessel</t>
        </is>
      </c>
      <c r="B1" s="1" t="inlineStr">
        <is>
          <t>-20%</t>
        </is>
      </c>
      <c r="C1" s="1" t="inlineStr">
        <is>
          <t>-10%</t>
        </is>
      </c>
      <c r="D1" s="1" t="inlineStr">
        <is>
          <t>+0%</t>
        </is>
      </c>
      <c r="E1" s="1" t="inlineStr">
        <is>
          <t>+10%</t>
        </is>
      </c>
      <c r="F1" s="1" t="inlineStr">
        <is>
          <t>+20%</t>
        </is>
      </c>
    </row>
    <row r="2">
      <c r="A2" t="inlineStr">
        <is>
          <t>-30%</t>
        </is>
      </c>
      <c r="B2" t="n">
        <v>21.75267919156759</v>
      </c>
      <c r="C2" t="n">
        <v>24.9933704532956</v>
      </c>
      <c r="D2" t="n">
        <v>28.23406171502362</v>
      </c>
      <c r="E2" t="n">
        <v>31.47475297675165</v>
      </c>
      <c r="F2" t="n">
        <v>34.71544423847966</v>
      </c>
    </row>
    <row r="3">
      <c r="A3" t="inlineStr">
        <is>
          <t>-15%</t>
        </is>
      </c>
      <c r="B3" t="n">
        <v>22.62472037711404</v>
      </c>
      <c r="C3" t="n">
        <v>25.86541163884206</v>
      </c>
      <c r="D3" t="n">
        <v>29.10610290057008</v>
      </c>
      <c r="E3" t="n">
        <v>32.3467941622981</v>
      </c>
      <c r="F3" t="n">
        <v>35.58748542402611</v>
      </c>
    </row>
    <row r="4">
      <c r="A4" t="inlineStr">
        <is>
          <t>+0%</t>
        </is>
      </c>
      <c r="B4" t="n">
        <v>23.49676156266049</v>
      </c>
      <c r="C4" t="n">
        <v>26.73745282438851</v>
      </c>
      <c r="D4" t="n">
        <v>29.97814408611653</v>
      </c>
      <c r="E4" t="n">
        <v>33.21883534784456</v>
      </c>
      <c r="F4" t="n">
        <v>36.45952660957257</v>
      </c>
    </row>
    <row r="5">
      <c r="A5" t="inlineStr">
        <is>
          <t>+15%</t>
        </is>
      </c>
      <c r="B5" t="n">
        <v>24.36880274820695</v>
      </c>
      <c r="C5" t="n">
        <v>27.60949400993496</v>
      </c>
      <c r="D5" t="n">
        <v>30.85018527166298</v>
      </c>
      <c r="E5" t="n">
        <v>34.09087653339101</v>
      </c>
      <c r="F5" t="n">
        <v>37.33156779511902</v>
      </c>
    </row>
    <row r="6">
      <c r="A6" t="inlineStr">
        <is>
          <t>+30%</t>
        </is>
      </c>
      <c r="B6" t="n">
        <v>25.2408439337534</v>
      </c>
      <c r="C6" t="n">
        <v>28.48153519548141</v>
      </c>
      <c r="D6" t="n">
        <v>31.72222645720944</v>
      </c>
      <c r="E6" t="n">
        <v>34.96291771893746</v>
      </c>
      <c r="F6" t="n">
        <v>38.20360898066548</v>
      </c>
    </row>
  </sheetData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B4"/>
  <sheetViews>
    <sheetView workbookViewId="0">
      <selection activeCell="A1" sqref="A1"/>
    </sheetView>
  </sheetViews>
  <sheetFormatPr baseColWidth="8" defaultRowHeight="15"/>
  <cols>
    <col width="17" customWidth="1" min="1" max="1"/>
    <col width="12" customWidth="1" min="2" max="2"/>
  </cols>
  <sheetData>
    <row r="1">
      <c r="A1" s="1" t="inlineStr">
        <is>
          <t>Dividend payout</t>
        </is>
      </c>
      <c r="B1" s="1" t="inlineStr">
        <is>
          <t>Fair value</t>
        </is>
      </c>
    </row>
    <row r="2">
      <c r="A2" t="n">
        <v>0.8</v>
      </c>
      <c r="B2" t="n">
        <v>30</v>
      </c>
    </row>
    <row r="3">
      <c r="A3" t="n">
        <v>0.95</v>
      </c>
      <c r="B3" t="n">
        <v>30.07</v>
      </c>
    </row>
    <row r="4">
      <c r="A4" t="n">
        <v>1</v>
      </c>
      <c r="B4" t="n">
        <v>30.09</v>
      </c>
    </row>
  </sheetData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A2"/>
  <sheetViews>
    <sheetView workbookViewId="0">
      <selection activeCell="A1" sqref="A1"/>
    </sheetView>
  </sheetViews>
  <sheetFormatPr baseColWidth="8" defaultRowHeight="15"/>
  <cols>
    <col width="40" customWidth="1" min="1" max="1"/>
  </cols>
  <sheetData>
    <row r="1">
      <c r="A1" s="1" t="inlineStr">
        <is>
          <t>Data validation warnings</t>
        </is>
      </c>
    </row>
    <row r="2">
      <c r="A2" t="inlineStr">
        <is>
          <t>LR2 FFA forward curve is CONSTRUCTED (no market anchor) — built from the 12M TC + spot, not a Baltic / $MT / Worldscale series. Treat its dividend-strip contribution as indicative.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2026-08-16T20:05:32Z</dcterms:created>
  <dcterms:modified xsi:type="dcterms:W3CDTF">2026-08-16T20:05:32Z</dcterms:modified>
</cp:coreProperties>
</file>