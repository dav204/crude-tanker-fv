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DHT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17.65</v>
      </c>
    </row>
    <row r="5">
      <c r="A5" s="1" t="inlineStr">
        <is>
          <t>Model fair value</t>
        </is>
      </c>
      <c r="B5" t="n">
        <v>14.15166907441216</v>
      </c>
    </row>
    <row r="6">
      <c r="A6" s="1" t="inlineStr">
        <is>
          <t>Analyst target</t>
        </is>
      </c>
      <c r="B6" t="n">
        <v>16</v>
      </c>
    </row>
    <row r="7">
      <c r="A7" s="1" t="inlineStr">
        <is>
          <t>NAV / share</t>
        </is>
      </c>
      <c r="B7" t="n">
        <v>13.09525884704837</v>
      </c>
    </row>
    <row r="8">
      <c r="A8" s="1" t="inlineStr">
        <is>
          <t>DivStrip implied price</t>
        </is>
      </c>
      <c r="B8" t="n">
        <v>16.61662627159434</v>
      </c>
    </row>
    <row r="9">
      <c r="A9" s="1" t="inlineStr">
        <is>
          <t>12M TC cycle input VLCC ($/day)</t>
        </is>
      </c>
      <c r="B9" t="n">
        <v>111500</v>
      </c>
    </row>
    <row r="10">
      <c r="A10" s="1" t="inlineStr">
        <is>
          <t>12M FFA strip VLCC ($/day)</t>
        </is>
      </c>
      <c r="B10" t="n">
        <v>155000</v>
      </c>
    </row>
    <row r="11">
      <c r="A11" s="1" t="inlineStr">
        <is>
          <t>Cycle position</t>
        </is>
      </c>
      <c r="B11" t="n">
        <v>2.7875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423095.5820517073</v>
      </c>
    </row>
    <row r="16">
      <c r="A16" s="1" t="inlineStr">
        <is>
          <t>Breakeven multiplier (× forward)</t>
        </is>
      </c>
      <c r="B16" t="n">
        <v>2.729648916462628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2376.627921667401</v>
      </c>
    </row>
    <row r="3">
      <c r="A3" t="inlineStr">
        <is>
          <t>+ Cash &amp; equivalents</t>
        </is>
      </c>
      <c r="B3" t="n">
        <v>126.246</v>
      </c>
    </row>
    <row r="4">
      <c r="A4" t="inlineStr">
        <is>
          <t>+ Working capital (net)</t>
        </is>
      </c>
      <c r="B4" t="n">
        <v>134.146</v>
      </c>
    </row>
    <row r="5">
      <c r="A5" t="inlineStr">
        <is>
          <t>- Total debt</t>
        </is>
      </c>
      <c r="B5" t="n">
        <v>-505.343</v>
      </c>
    </row>
    <row r="6">
      <c r="A6" t="inlineStr">
        <is>
          <t>- Lease liabilities</t>
        </is>
      </c>
      <c r="B6" t="n">
        <v>-0.99</v>
      </c>
    </row>
    <row r="7">
      <c r="A7" t="inlineStr">
        <is>
          <t>- Newbuild commitments</t>
        </is>
      </c>
      <c r="B7" t="n">
        <v>-77.48099999999999</v>
      </c>
    </row>
    <row r="8">
      <c r="A8" t="inlineStr">
        <is>
          <t>+ Newbuild advances</t>
        </is>
      </c>
      <c r="B8" t="n">
        <v>55.676</v>
      </c>
    </row>
    <row r="9">
      <c r="A9">
        <f> NAV total</f>
        <v/>
      </c>
      <c r="B9" t="n">
        <v>2108.881921667401</v>
      </c>
    </row>
    <row r="10">
      <c r="A10" t="inlineStr">
        <is>
          <t>Diluted shares</t>
        </is>
      </c>
      <c r="B10" t="n">
        <v>161041637</v>
      </c>
    </row>
    <row r="11">
      <c r="A11" t="inlineStr">
        <is>
          <t>NAV / share</t>
        </is>
      </c>
      <c r="B11" t="n">
        <v>13.09525884704837</v>
      </c>
    </row>
    <row r="12">
      <c r="A12" t="inlineStr">
        <is>
          <t>NAV / share (ex yard discount)</t>
        </is>
      </c>
      <c r="B12" t="n">
        <v>13.09525884704837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VLCC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147500</v>
      </c>
      <c r="C2" t="n">
        <v>118981.25</v>
      </c>
      <c r="D2" t="n">
        <v>1.265221272715406</v>
      </c>
      <c r="E2" t="n">
        <v>1.265221272715406</v>
      </c>
      <c r="F2" t="n">
        <v>1.232638534942843</v>
      </c>
    </row>
    <row r="3">
      <c r="A3" t="inlineStr">
        <is>
          <t>Q2</t>
        </is>
      </c>
      <c r="B3" t="n">
        <v>183500</v>
      </c>
      <c r="C3" t="n">
        <v>138781.25</v>
      </c>
      <c r="D3" t="n">
        <v>1.506864224159076</v>
      </c>
      <c r="E3" t="n">
        <v>1.506864224159076</v>
      </c>
      <c r="F3" t="n">
        <v>1.430252226873973</v>
      </c>
    </row>
    <row r="4">
      <c r="A4" t="inlineStr">
        <is>
          <t>Q3</t>
        </is>
      </c>
      <c r="B4" t="n">
        <v>165500</v>
      </c>
      <c r="C4" t="n">
        <v>128881.25</v>
      </c>
      <c r="D4" t="n">
        <v>1.386042748437241</v>
      </c>
      <c r="E4" t="n">
        <v>1.386042748437241</v>
      </c>
      <c r="F4" t="n">
        <v>1.281694117104788</v>
      </c>
    </row>
    <row r="5">
      <c r="A5" t="inlineStr">
        <is>
          <t>Q4</t>
        </is>
      </c>
      <c r="B5" t="n">
        <v>123500</v>
      </c>
      <c r="C5" t="n">
        <v>105781.25</v>
      </c>
      <c r="D5" t="n">
        <v>1.10412597175296</v>
      </c>
      <c r="E5" t="n">
        <v>1.10412597175296</v>
      </c>
      <c r="F5" t="n">
        <v>0.9947080826603245</v>
      </c>
    </row>
    <row r="6">
      <c r="A6" t="inlineStr">
        <is>
          <t>Q5</t>
        </is>
      </c>
      <c r="B6" t="n">
        <v>111500</v>
      </c>
      <c r="C6" t="n">
        <v>99181.25</v>
      </c>
      <c r="D6" t="n">
        <v>1.023578321271737</v>
      </c>
      <c r="E6" t="n">
        <v>1.023578321271737</v>
      </c>
      <c r="F6" t="n">
        <v>0.8983950611276215</v>
      </c>
    </row>
    <row r="7">
      <c r="A7" t="inlineStr">
        <is>
          <t>Q6</t>
        </is>
      </c>
      <c r="B7" t="n">
        <v>135500</v>
      </c>
      <c r="C7" t="n">
        <v>112381.25</v>
      </c>
      <c r="D7" t="n">
        <v>1.184673622234184</v>
      </c>
      <c r="E7" t="n">
        <v>1.184673622234184</v>
      </c>
      <c r="F7" t="n">
        <v>1.013011208018604</v>
      </c>
    </row>
    <row r="8">
      <c r="A8" t="inlineStr">
        <is>
          <t>Q7</t>
        </is>
      </c>
      <c r="B8" t="n">
        <v>147500</v>
      </c>
      <c r="C8" t="n">
        <v>118981.25</v>
      </c>
      <c r="D8" t="n">
        <v>1.265221272715406</v>
      </c>
      <c r="E8" t="n">
        <v>1.265221272715406</v>
      </c>
      <c r="F8" t="n">
        <v>1.054025875057338</v>
      </c>
    </row>
    <row r="9">
      <c r="A9" t="inlineStr">
        <is>
          <t>Q8</t>
        </is>
      </c>
      <c r="B9" t="n">
        <v>105500</v>
      </c>
      <c r="C9" t="n">
        <v>95881.25</v>
      </c>
      <c r="D9" t="n">
        <v>0.9833044960311257</v>
      </c>
      <c r="E9" t="n">
        <v>0.9833044960311257</v>
      </c>
      <c r="F9" t="n">
        <v>0.7980719876886012</v>
      </c>
    </row>
    <row r="10">
      <c r="A10" t="inlineStr">
        <is>
          <t>Sum disc. DPS</t>
        </is>
      </c>
      <c r="F10" t="n">
        <v>8.702797093474093</v>
      </c>
    </row>
    <row r="11">
      <c r="A11" t="inlineStr">
        <is>
          <t>Terminal value (q9)</t>
        </is>
      </c>
      <c r="E11" t="n">
        <v>10.00837049575144</v>
      </c>
      <c r="F11" t="n">
        <v>7.913829178120249</v>
      </c>
    </row>
    <row r="12">
      <c r="A12" t="inlineStr">
        <is>
          <t>DivStrip implied price</t>
        </is>
      </c>
      <c r="F12" t="n">
        <v>16.61662627159434</v>
      </c>
    </row>
    <row r="13">
      <c r="A13" t="inlineStr">
        <is>
          <t>12M FFA strip (front 4q)</t>
        </is>
      </c>
      <c r="B13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10.92509192323648</v>
      </c>
      <c r="C2" t="n">
        <v>12.23499543966945</v>
      </c>
      <c r="D2" t="n">
        <v>13.54489895610241</v>
      </c>
      <c r="E2" t="n">
        <v>14.85480247253538</v>
      </c>
      <c r="F2" t="n">
        <v>16.16470598896834</v>
      </c>
    </row>
    <row r="3">
      <c r="A3" t="inlineStr">
        <is>
          <t>-15%</t>
        </is>
      </c>
      <c r="B3" t="n">
        <v>11.22847698239135</v>
      </c>
      <c r="C3" t="n">
        <v>12.53838049882432</v>
      </c>
      <c r="D3" t="n">
        <v>13.84828401525728</v>
      </c>
      <c r="E3" t="n">
        <v>15.15818753169025</v>
      </c>
      <c r="F3" t="n">
        <v>16.46809104812321</v>
      </c>
    </row>
    <row r="4">
      <c r="A4" t="inlineStr">
        <is>
          <t>+0%</t>
        </is>
      </c>
      <c r="B4" t="n">
        <v>11.53186204154622</v>
      </c>
      <c r="C4" t="n">
        <v>12.84176555797919</v>
      </c>
      <c r="D4" t="n">
        <v>14.15166907441216</v>
      </c>
      <c r="E4" t="n">
        <v>15.46157259084513</v>
      </c>
      <c r="F4" t="n">
        <v>16.77147610727809</v>
      </c>
    </row>
    <row r="5">
      <c r="A5" t="inlineStr">
        <is>
          <t>+15%</t>
        </is>
      </c>
      <c r="B5" t="n">
        <v>11.8352471007011</v>
      </c>
      <c r="C5" t="n">
        <v>13.14515061713407</v>
      </c>
      <c r="D5" t="n">
        <v>14.45505413356703</v>
      </c>
      <c r="E5" t="n">
        <v>15.76495765</v>
      </c>
      <c r="F5" t="n">
        <v>17.07486116643296</v>
      </c>
    </row>
    <row r="6">
      <c r="A6" t="inlineStr">
        <is>
          <t>+30%</t>
        </is>
      </c>
      <c r="B6" t="n">
        <v>12.13863215985597</v>
      </c>
      <c r="C6" t="n">
        <v>13.44853567628894</v>
      </c>
      <c r="D6" t="n">
        <v>14.7584391927219</v>
      </c>
      <c r="E6" t="n">
        <v>16.06834270915487</v>
      </c>
      <c r="F6" t="n">
        <v>17.37824622558783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14.09</v>
      </c>
    </row>
    <row r="3">
      <c r="A3" t="n">
        <v>0.95</v>
      </c>
      <c r="B3" t="n">
        <v>14.14</v>
      </c>
    </row>
    <row r="4">
      <c r="A4" t="n">
        <v>1</v>
      </c>
      <c r="B4" t="n">
        <v>14.15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2026-06-27T00:30:59Z</dcterms:created>
  <dcterms:modified xsi:type="dcterms:W3CDTF">2026-06-27T00:30:59Z</dcterms:modified>
</cp:coreProperties>
</file>