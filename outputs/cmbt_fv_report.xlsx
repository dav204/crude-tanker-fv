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CMBT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14.93</v>
      </c>
    </row>
    <row r="5">
      <c r="A5" s="1" t="inlineStr">
        <is>
          <t>Model fair value</t>
        </is>
      </c>
      <c r="B5" t="n">
        <v>15.18893258823208</v>
      </c>
    </row>
    <row r="6">
      <c r="A6" s="1" t="inlineStr">
        <is>
          <t>Analyst target</t>
        </is>
      </c>
      <c r="B6" t="n">
        <v>16.59</v>
      </c>
    </row>
    <row r="7">
      <c r="A7" s="1" t="inlineStr">
        <is>
          <t>NAV / share</t>
        </is>
      </c>
      <c r="B7" t="n">
        <v>15.86977926497469</v>
      </c>
    </row>
    <row r="8">
      <c r="A8" s="1" t="inlineStr">
        <is>
          <t>DivStrip implied price</t>
        </is>
      </c>
      <c r="B8" t="n">
        <v>13.60029034249934</v>
      </c>
    </row>
    <row r="9">
      <c r="A9" s="1" t="inlineStr">
        <is>
          <t>12M TC cycle input Cape ($/day)</t>
        </is>
      </c>
      <c r="B9" t="n">
        <v>33100</v>
      </c>
    </row>
    <row r="10">
      <c r="A10" s="1" t="inlineStr">
        <is>
          <t>12M FFA strip Cape ($/day)</t>
        </is>
      </c>
      <c r="B10" t="n">
        <v>31037.5</v>
      </c>
    </row>
    <row r="11">
      <c r="A11" s="1" t="inlineStr">
        <is>
          <t>Cycle position</t>
        </is>
      </c>
      <c r="B11" t="n">
        <v>1.663845334050124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44372.02916555987</v>
      </c>
    </row>
    <row r="16">
      <c r="A16" s="1" t="inlineStr">
        <is>
          <t>Breakeven multiplier (× forward)</t>
        </is>
      </c>
      <c r="B16" t="n">
        <v>0.909018329546754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7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VLCC</t>
        </is>
      </c>
      <c r="B2" t="n">
        <v>624.4260092509445</v>
      </c>
    </row>
    <row r="3">
      <c r="A3" t="inlineStr">
        <is>
          <t>Fleet value — Suezmax</t>
        </is>
      </c>
      <c r="B3" t="n">
        <v>1266.238719977394</v>
      </c>
    </row>
    <row r="4">
      <c r="A4" t="inlineStr">
        <is>
          <t>Fleet value — Cape</t>
        </is>
      </c>
      <c r="B4" t="n">
        <v>4746.183229374264</v>
      </c>
    </row>
    <row r="5">
      <c r="A5" t="inlineStr">
        <is>
          <t>Fleet value — Pana</t>
        </is>
      </c>
      <c r="B5" t="n">
        <v>980.4102247960903</v>
      </c>
    </row>
    <row r="6">
      <c r="A6" t="inlineStr">
        <is>
          <t>Fleet value — Ctr-Large</t>
        </is>
      </c>
      <c r="B6" t="n">
        <v>257.25</v>
      </c>
    </row>
    <row r="7">
      <c r="A7" t="inlineStr">
        <is>
          <t>+ Cash &amp; equivalents</t>
        </is>
      </c>
      <c r="B7" t="n">
        <v>202.871</v>
      </c>
    </row>
    <row r="8">
      <c r="A8" t="inlineStr">
        <is>
          <t>+ Working capital (net)</t>
        </is>
      </c>
      <c r="B8" t="n">
        <v>912.136</v>
      </c>
    </row>
    <row r="9">
      <c r="A9" t="inlineStr">
        <is>
          <t>- Total debt</t>
        </is>
      </c>
      <c r="B9" t="n">
        <v>-5238.16</v>
      </c>
    </row>
    <row r="10">
      <c r="A10" t="inlineStr">
        <is>
          <t>- Lease liabilities</t>
        </is>
      </c>
      <c r="B10" t="n">
        <v>-6.232</v>
      </c>
    </row>
    <row r="11">
      <c r="A11" t="inlineStr">
        <is>
          <t>- Newbuild commitments</t>
        </is>
      </c>
      <c r="B11" t="n">
        <v>-0</v>
      </c>
    </row>
    <row r="12">
      <c r="A12" t="inlineStr">
        <is>
          <t>+ Newbuild advances</t>
        </is>
      </c>
      <c r="B12" t="n">
        <v>759.807</v>
      </c>
    </row>
    <row r="13">
      <c r="A13">
        <f> NAV total</f>
        <v/>
      </c>
      <c r="B13" t="n">
        <v>4604.930183398695</v>
      </c>
    </row>
    <row r="14">
      <c r="A14" t="inlineStr">
        <is>
          <t>Diluted shares</t>
        </is>
      </c>
      <c r="B14" t="n">
        <v>290169769</v>
      </c>
    </row>
    <row r="15">
      <c r="A15" t="inlineStr">
        <is>
          <t>NAV / share</t>
        </is>
      </c>
      <c r="B15" t="n">
        <v>15.86977926497469</v>
      </c>
    </row>
    <row r="16">
      <c r="A16" t="inlineStr">
        <is>
          <t>NAV / share (ex yard discount)</t>
        </is>
      </c>
      <c r="B16" t="n">
        <v>15.86977926497469</v>
      </c>
    </row>
    <row r="17">
      <c r="A17" t="inlineStr">
        <is>
          <t>Yard-discount impact / share</t>
        </is>
      </c>
      <c r="B17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0" customWidth="1" min="4" max="4"/>
    <col width="21" customWidth="1" min="5" max="5"/>
    <col width="21" customWidth="1" min="6" max="6"/>
  </cols>
  <sheetData>
    <row r="1">
      <c r="A1" s="1" t="inlineStr">
        <is>
          <t>Quarter</t>
        </is>
      </c>
      <c r="B1" s="1" t="inlineStr">
        <is>
          <t>FFA spot Cape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32500</v>
      </c>
      <c r="C2" t="n">
        <v>32500</v>
      </c>
      <c r="D2" t="n">
        <v>0.9678250295260772</v>
      </c>
      <c r="E2" t="n">
        <v>0.4839125147630386</v>
      </c>
      <c r="F2" t="n">
        <v>0.471450509172865</v>
      </c>
    </row>
    <row r="3">
      <c r="A3" t="inlineStr">
        <is>
          <t>Q2</t>
        </is>
      </c>
      <c r="B3" t="n">
        <v>33650</v>
      </c>
      <c r="C3" t="n">
        <v>33650</v>
      </c>
      <c r="D3" t="n">
        <v>1.112189644573208</v>
      </c>
      <c r="E3" t="n">
        <v>0.5560948222866042</v>
      </c>
      <c r="F3" t="n">
        <v>0.5278218469698954</v>
      </c>
    </row>
    <row r="4">
      <c r="A4" t="inlineStr">
        <is>
          <t>Q3</t>
        </is>
      </c>
      <c r="B4" t="n">
        <v>29500</v>
      </c>
      <c r="C4" t="n">
        <v>29500</v>
      </c>
      <c r="D4" t="n">
        <v>0.9463817498851853</v>
      </c>
      <c r="E4" t="n">
        <v>0.4731908749425927</v>
      </c>
      <c r="F4" t="n">
        <v>0.4375665623339537</v>
      </c>
    </row>
    <row r="5">
      <c r="A5" t="inlineStr">
        <is>
          <t>Q4</t>
        </is>
      </c>
      <c r="B5" t="n">
        <v>28500</v>
      </c>
      <c r="C5" t="n">
        <v>28500</v>
      </c>
      <c r="D5" t="n">
        <v>0.7473518726549353</v>
      </c>
      <c r="E5" t="n">
        <v>0.3736759363274677</v>
      </c>
      <c r="F5" t="n">
        <v>0.3366449876824033</v>
      </c>
    </row>
    <row r="6">
      <c r="A6" t="inlineStr">
        <is>
          <t>Q5</t>
        </is>
      </c>
      <c r="B6" t="n">
        <v>27500</v>
      </c>
      <c r="C6" t="n">
        <v>27500</v>
      </c>
      <c r="D6" t="n">
        <v>0.6667130604842574</v>
      </c>
      <c r="E6" t="n">
        <v>0.3333565302421287</v>
      </c>
      <c r="F6" t="n">
        <v>0.2925871466211545</v>
      </c>
    </row>
    <row r="7">
      <c r="A7" t="inlineStr">
        <is>
          <t>Q6</t>
        </is>
      </c>
      <c r="B7" t="n">
        <v>26500</v>
      </c>
      <c r="C7" t="n">
        <v>26500</v>
      </c>
      <c r="D7" t="n">
        <v>0.7521841610247137</v>
      </c>
      <c r="E7" t="n">
        <v>0.3760920805123569</v>
      </c>
      <c r="F7" t="n">
        <v>0.3215953201418884</v>
      </c>
    </row>
    <row r="8">
      <c r="A8" t="inlineStr">
        <is>
          <t>Q7</t>
        </is>
      </c>
      <c r="B8" t="n">
        <v>26000</v>
      </c>
      <c r="C8" t="n">
        <v>26000</v>
      </c>
      <c r="D8" t="n">
        <v>0.7668320351456047</v>
      </c>
      <c r="E8" t="n">
        <v>0.3834160175728024</v>
      </c>
      <c r="F8" t="n">
        <v>0.3194148028872701</v>
      </c>
    </row>
    <row r="9">
      <c r="A9" t="inlineStr">
        <is>
          <t>Q8</t>
        </is>
      </c>
      <c r="B9" t="n">
        <v>25500</v>
      </c>
      <c r="C9" t="n">
        <v>25500</v>
      </c>
      <c r="D9" t="n">
        <v>0.5794298518051341</v>
      </c>
      <c r="E9" t="n">
        <v>0.289714925902567</v>
      </c>
      <c r="F9" t="n">
        <v>0.2351391331081625</v>
      </c>
    </row>
    <row r="10">
      <c r="A10" t="inlineStr">
        <is>
          <t>Sum disc. DPS</t>
        </is>
      </c>
      <c r="F10" t="n">
        <v>2.942220308917593</v>
      </c>
    </row>
    <row r="11">
      <c r="A11" t="inlineStr">
        <is>
          <t>Terminal value (q9)</t>
        </is>
      </c>
      <c r="E11" t="n">
        <v>13.47892546893324</v>
      </c>
      <c r="F11" t="n">
        <v>10.65807003358175</v>
      </c>
    </row>
    <row r="12">
      <c r="A12" t="inlineStr">
        <is>
          <t>DivStrip implied price</t>
        </is>
      </c>
      <c r="F12" t="n">
        <v>13.60029034249934</v>
      </c>
    </row>
    <row r="13">
      <c r="A13" t="inlineStr">
        <is>
          <t>12M FFA strip (front 4q)</t>
        </is>
      </c>
      <c r="B13" t="n">
        <v>31037.5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9.516921765050904</v>
      </c>
      <c r="C2" t="n">
        <v>11.92602923070004</v>
      </c>
      <c r="D2" t="n">
        <v>14.33513669634918</v>
      </c>
      <c r="E2" t="n">
        <v>16.74424416199832</v>
      </c>
      <c r="F2" t="n">
        <v>19.15335162764746</v>
      </c>
    </row>
    <row r="3">
      <c r="A3" t="inlineStr">
        <is>
          <t>-15%</t>
        </is>
      </c>
      <c r="B3" t="n">
        <v>9.943819710992354</v>
      </c>
      <c r="C3" t="n">
        <v>12.35292717664149</v>
      </c>
      <c r="D3" t="n">
        <v>14.76203464229063</v>
      </c>
      <c r="E3" t="n">
        <v>17.17114210793977</v>
      </c>
      <c r="F3" t="n">
        <v>19.58024957358891</v>
      </c>
    </row>
    <row r="4">
      <c r="A4" t="inlineStr">
        <is>
          <t>+0%</t>
        </is>
      </c>
      <c r="B4" t="n">
        <v>10.3707176569338</v>
      </c>
      <c r="C4" t="n">
        <v>12.77982512258294</v>
      </c>
      <c r="D4" t="n">
        <v>15.18893258823208</v>
      </c>
      <c r="E4" t="n">
        <v>17.59804005388122</v>
      </c>
      <c r="F4" t="n">
        <v>20.00714751953036</v>
      </c>
    </row>
    <row r="5">
      <c r="A5" t="inlineStr">
        <is>
          <t>+15%</t>
        </is>
      </c>
      <c r="B5" t="n">
        <v>10.79761560287525</v>
      </c>
      <c r="C5" t="n">
        <v>13.20672306852439</v>
      </c>
      <c r="D5" t="n">
        <v>15.61583053417353</v>
      </c>
      <c r="E5" t="n">
        <v>18.02493799982267</v>
      </c>
      <c r="F5" t="n">
        <v>20.4340454654718</v>
      </c>
    </row>
    <row r="6">
      <c r="A6" t="inlineStr">
        <is>
          <t>+30%</t>
        </is>
      </c>
      <c r="B6" t="n">
        <v>11.2245135488167</v>
      </c>
      <c r="C6" t="n">
        <v>13.63362101446584</v>
      </c>
      <c r="D6" t="n">
        <v>16.04272848011498</v>
      </c>
      <c r="E6" t="n">
        <v>18.45183594576412</v>
      </c>
      <c r="F6" t="n">
        <v>20.86094341141326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15.25</v>
      </c>
    </row>
    <row r="3">
      <c r="A3" t="n">
        <v>0.95</v>
      </c>
      <c r="B3" t="n">
        <v>15.29</v>
      </c>
    </row>
    <row r="4">
      <c r="A4" t="n">
        <v>1</v>
      </c>
      <c r="B4" t="n">
        <v>15.3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$285,500/day is 7.1x the 10-yr mean ($40,000) — unsustainable as a level. Confirm it is a genuine cycle spike (not a unit/source error) and do not anchor valuation to it.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2026-07-10T20:20:21Z</dcterms:created>
  <dcterms:modified xsi:type="dcterms:W3CDTF">2026-07-10T20:20:21Z</dcterms:modified>
</cp:coreProperties>
</file>