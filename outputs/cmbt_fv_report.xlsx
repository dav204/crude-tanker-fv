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CMBT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18.35</v>
      </c>
    </row>
    <row r="5">
      <c r="A5" s="1" t="inlineStr">
        <is>
          <t>Model fair value</t>
        </is>
      </c>
      <c r="B5" t="n">
        <v>15.83371262147811</v>
      </c>
    </row>
    <row r="6">
      <c r="A6" s="1" t="inlineStr">
        <is>
          <t>Analyst target</t>
        </is>
      </c>
      <c r="B6" t="n">
        <v>16.59</v>
      </c>
    </row>
    <row r="7">
      <c r="A7" s="1" t="inlineStr">
        <is>
          <t>NAV / share</t>
        </is>
      </c>
      <c r="B7" t="n">
        <v>16.50498195047288</v>
      </c>
    </row>
    <row r="8">
      <c r="A8" s="1" t="inlineStr">
        <is>
          <t>DivStrip implied price</t>
        </is>
      </c>
      <c r="B8" t="n">
        <v>14.26741752049031</v>
      </c>
    </row>
    <row r="9">
      <c r="A9" s="1" t="inlineStr">
        <is>
          <t>12M TC cycle input Cape ($/day)</t>
        </is>
      </c>
      <c r="B9" t="n">
        <v>35425</v>
      </c>
    </row>
    <row r="10">
      <c r="A10" s="1" t="inlineStr">
        <is>
          <t>12M FFA strip Cape ($/day)</t>
        </is>
      </c>
      <c r="B10" t="n">
        <v>36447</v>
      </c>
    </row>
    <row r="11">
      <c r="A11" s="1" t="inlineStr">
        <is>
          <t>Cycle position</t>
        </is>
      </c>
      <c r="B11" t="n">
        <v>1.70392176668539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96705.01539499914</v>
      </c>
    </row>
    <row r="16">
      <c r="A16" s="1" t="inlineStr">
        <is>
          <t>Breakeven multiplier (× forward)</t>
        </is>
      </c>
      <c r="B16" t="n">
        <v>1.871067146909366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635.463999733674</v>
      </c>
    </row>
    <row r="3">
      <c r="A3" t="inlineStr">
        <is>
          <t>Fleet value — Suezmax</t>
        </is>
      </c>
      <c r="B3" t="n">
        <v>1282.234081828126</v>
      </c>
    </row>
    <row r="4">
      <c r="A4" t="inlineStr">
        <is>
          <t>Fleet value — Cape</t>
        </is>
      </c>
      <c r="B4" t="n">
        <v>4835.635990464123</v>
      </c>
    </row>
    <row r="5">
      <c r="A5" t="inlineStr">
        <is>
          <t>Fleet value — Pana</t>
        </is>
      </c>
      <c r="B5" t="n">
        <v>1048.240727891962</v>
      </c>
    </row>
    <row r="6">
      <c r="A6" t="inlineStr">
        <is>
          <t>Fleet value — Ctr-Large</t>
        </is>
      </c>
      <c r="B6" t="n">
        <v>257.25</v>
      </c>
    </row>
    <row r="7">
      <c r="A7" t="inlineStr">
        <is>
          <t>+ Cash &amp; equivalents</t>
        </is>
      </c>
      <c r="B7" t="n">
        <v>202.871</v>
      </c>
    </row>
    <row r="8">
      <c r="A8" t="inlineStr">
        <is>
          <t>+ Working capital (net)</t>
        </is>
      </c>
      <c r="B8" t="n">
        <v>912.136</v>
      </c>
    </row>
    <row r="9">
      <c r="A9" t="inlineStr">
        <is>
          <t>- Total debt</t>
        </is>
      </c>
      <c r="B9" t="n">
        <v>-5238.16</v>
      </c>
    </row>
    <row r="10">
      <c r="A10" t="inlineStr">
        <is>
          <t>- Lease liabilities</t>
        </is>
      </c>
      <c r="B10" t="n">
        <v>-6.232</v>
      </c>
    </row>
    <row r="11">
      <c r="A11" t="inlineStr">
        <is>
          <t>- Newbuild commitments</t>
        </is>
      </c>
      <c r="B11" t="n">
        <v>-0</v>
      </c>
    </row>
    <row r="12">
      <c r="A12" t="inlineStr">
        <is>
          <t>+ Newbuild advances</t>
        </is>
      </c>
      <c r="B12" t="n">
        <v>759.807</v>
      </c>
    </row>
    <row r="13">
      <c r="A13">
        <f> NAV total</f>
        <v/>
      </c>
      <c r="B13" t="n">
        <v>4789.246799917885</v>
      </c>
    </row>
    <row r="14">
      <c r="A14" t="inlineStr">
        <is>
          <t>Diluted shares</t>
        </is>
      </c>
      <c r="B14" t="n">
        <v>290169769</v>
      </c>
    </row>
    <row r="15">
      <c r="A15" t="inlineStr">
        <is>
          <t>NAV / share</t>
        </is>
      </c>
      <c r="B15" t="n">
        <v>16.50498195047288</v>
      </c>
    </row>
    <row r="16">
      <c r="A16" t="inlineStr">
        <is>
          <t>NAV / share (ex yard discount)</t>
        </is>
      </c>
      <c r="B16" t="n">
        <v>16.50498195047288</v>
      </c>
    </row>
    <row r="17">
      <c r="A17" t="inlineStr">
        <is>
          <t>Yard-discount impact / share</t>
        </is>
      </c>
      <c r="B1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41313</v>
      </c>
      <c r="C2" t="n">
        <v>41313</v>
      </c>
      <c r="D2" t="n">
        <v>1.402388192349907</v>
      </c>
      <c r="E2" t="n">
        <v>0.7011940961749533</v>
      </c>
      <c r="F2" t="n">
        <v>0.6831365248583529</v>
      </c>
    </row>
    <row r="3">
      <c r="A3" t="inlineStr">
        <is>
          <t>Q2</t>
        </is>
      </c>
      <c r="B3" t="n">
        <v>42125</v>
      </c>
      <c r="C3" t="n">
        <v>42125</v>
      </c>
      <c r="D3" t="n">
        <v>1.429793307767013</v>
      </c>
      <c r="E3" t="n">
        <v>0.7148966538835063</v>
      </c>
      <c r="F3" t="n">
        <v>0.6785498751702369</v>
      </c>
    </row>
    <row r="4">
      <c r="A4" t="inlineStr">
        <is>
          <t>Q3</t>
        </is>
      </c>
      <c r="B4" t="n">
        <v>28725</v>
      </c>
      <c r="C4" t="n">
        <v>28725</v>
      </c>
      <c r="D4" t="n">
        <v>0.7007580421394621</v>
      </c>
      <c r="E4" t="n">
        <v>0.3503790210697311</v>
      </c>
      <c r="F4" t="n">
        <v>0.3240006345896213</v>
      </c>
    </row>
    <row r="5">
      <c r="A5" t="inlineStr">
        <is>
          <t>Q4</t>
        </is>
      </c>
      <c r="B5" t="n">
        <v>33625</v>
      </c>
      <c r="C5" t="n">
        <v>33625</v>
      </c>
      <c r="D5" t="n">
        <v>0.8153799222706071</v>
      </c>
      <c r="E5" t="n">
        <v>0.4076899611353035</v>
      </c>
      <c r="F5" t="n">
        <v>0.3672882532750482</v>
      </c>
    </row>
    <row r="6">
      <c r="A6" t="inlineStr">
        <is>
          <t>Q5</t>
        </is>
      </c>
      <c r="B6" t="n">
        <v>33625</v>
      </c>
      <c r="C6" t="n">
        <v>33625</v>
      </c>
      <c r="D6" t="n">
        <v>0.5942936688125495</v>
      </c>
      <c r="E6" t="n">
        <v>0.2971468344062748</v>
      </c>
      <c r="F6" t="n">
        <v>0.26080588354844</v>
      </c>
    </row>
    <row r="7">
      <c r="A7" t="inlineStr">
        <is>
          <t>Q6</t>
        </is>
      </c>
      <c r="B7" t="n">
        <v>33625</v>
      </c>
      <c r="C7" t="n">
        <v>33625</v>
      </c>
      <c r="D7" t="n">
        <v>0.5921795426507714</v>
      </c>
      <c r="E7" t="n">
        <v>0.2960897713253857</v>
      </c>
      <c r="F7" t="n">
        <v>0.2531855620847016</v>
      </c>
    </row>
    <row r="8">
      <c r="A8" t="inlineStr">
        <is>
          <t>Q7</t>
        </is>
      </c>
      <c r="B8" t="n">
        <v>33125</v>
      </c>
      <c r="C8" t="n">
        <v>33125</v>
      </c>
      <c r="D8" t="n">
        <v>0.5751155243449912</v>
      </c>
      <c r="E8" t="n">
        <v>0.2875577621724956</v>
      </c>
      <c r="F8" t="n">
        <v>0.2395575607521192</v>
      </c>
    </row>
    <row r="9">
      <c r="A9" t="inlineStr">
        <is>
          <t>Q8</t>
        </is>
      </c>
      <c r="B9" t="n">
        <v>32625</v>
      </c>
      <c r="C9" t="n">
        <v>32625</v>
      </c>
      <c r="D9" t="n">
        <v>0.5589575601085446</v>
      </c>
      <c r="E9" t="n">
        <v>0.2794787800542723</v>
      </c>
      <c r="F9" t="n">
        <v>0.2268312475077285</v>
      </c>
    </row>
    <row r="10">
      <c r="A10" t="inlineStr">
        <is>
          <t>Sum disc. DPS</t>
        </is>
      </c>
      <c r="F10" t="n">
        <v>3.033355541786249</v>
      </c>
    </row>
    <row r="11">
      <c r="A11" t="inlineStr">
        <is>
          <t>Terminal value (q9)</t>
        </is>
      </c>
      <c r="E11" t="n">
        <v>14.20736433962441</v>
      </c>
      <c r="F11" t="n">
        <v>11.23406197870406</v>
      </c>
    </row>
    <row r="12">
      <c r="A12" t="inlineStr">
        <is>
          <t>DivStrip implied price</t>
        </is>
      </c>
      <c r="F12" t="n">
        <v>14.26741752049031</v>
      </c>
    </row>
    <row r="13">
      <c r="A13" t="inlineStr">
        <is>
          <t>12M FFA strip (front 4q)</t>
        </is>
      </c>
      <c r="B13" t="n">
        <v>36447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10.02847032256331</v>
      </c>
      <c r="C2" t="n">
        <v>12.49778032245263</v>
      </c>
      <c r="D2" t="n">
        <v>14.96709032234195</v>
      </c>
      <c r="E2" t="n">
        <v>17.43640032223128</v>
      </c>
      <c r="F2" t="n">
        <v>19.9057103221206</v>
      </c>
    </row>
    <row r="3">
      <c r="A3" t="inlineStr">
        <is>
          <t>-15%</t>
        </is>
      </c>
      <c r="B3" t="n">
        <v>10.46178147213138</v>
      </c>
      <c r="C3" t="n">
        <v>12.93109147202071</v>
      </c>
      <c r="D3" t="n">
        <v>15.40040147191003</v>
      </c>
      <c r="E3" t="n">
        <v>17.86971147179935</v>
      </c>
      <c r="F3" t="n">
        <v>20.33902147168868</v>
      </c>
    </row>
    <row r="4">
      <c r="A4" t="inlineStr">
        <is>
          <t>+0%</t>
        </is>
      </c>
      <c r="B4" t="n">
        <v>10.89509262169946</v>
      </c>
      <c r="C4" t="n">
        <v>13.36440262158879</v>
      </c>
      <c r="D4" t="n">
        <v>15.83371262147811</v>
      </c>
      <c r="E4" t="n">
        <v>18.30302262136743</v>
      </c>
      <c r="F4" t="n">
        <v>20.77233262125676</v>
      </c>
    </row>
    <row r="5">
      <c r="A5" t="inlineStr">
        <is>
          <t>+15%</t>
        </is>
      </c>
      <c r="B5" t="n">
        <v>11.32840377126754</v>
      </c>
      <c r="C5" t="n">
        <v>13.79771377115687</v>
      </c>
      <c r="D5" t="n">
        <v>16.26702377104618</v>
      </c>
      <c r="E5" t="n">
        <v>18.73633377093551</v>
      </c>
      <c r="F5" t="n">
        <v>21.20564377082484</v>
      </c>
    </row>
    <row r="6">
      <c r="A6" t="inlineStr">
        <is>
          <t>+30%</t>
        </is>
      </c>
      <c r="B6" t="n">
        <v>11.76171492083562</v>
      </c>
      <c r="C6" t="n">
        <v>14.23102492072495</v>
      </c>
      <c r="D6" t="n">
        <v>16.70033492061426</v>
      </c>
      <c r="E6" t="n">
        <v>19.16964492050359</v>
      </c>
      <c r="F6" t="n">
        <v>21.63895492039292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15.91</v>
      </c>
    </row>
    <row r="3">
      <c r="A3" t="n">
        <v>0.95</v>
      </c>
      <c r="B3" t="n">
        <v>15.94</v>
      </c>
    </row>
    <row r="4">
      <c r="A4" t="n">
        <v>1</v>
      </c>
      <c r="B4" t="n">
        <v>15.95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2026-08-31T18:46:03Z</dcterms:created>
  <dcterms:modified xsi:type="dcterms:W3CDTF">2026-08-31T18:46:04Z</dcterms:modified>
</cp:coreProperties>
</file>