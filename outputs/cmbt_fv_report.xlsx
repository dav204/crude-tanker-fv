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CMBT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18.35</v>
      </c>
    </row>
    <row r="5">
      <c r="A5" s="1" t="inlineStr">
        <is>
          <t>Model fair value</t>
        </is>
      </c>
      <c r="B5" t="n">
        <v>15.64756113114178</v>
      </c>
    </row>
    <row r="6">
      <c r="A6" s="1" t="inlineStr">
        <is>
          <t>Analyst target</t>
        </is>
      </c>
      <c r="B6" t="n">
        <v>16.59</v>
      </c>
    </row>
    <row r="7">
      <c r="A7" s="1" t="inlineStr">
        <is>
          <t>NAV / share</t>
        </is>
      </c>
      <c r="B7" t="n">
        <v>16.45740731010542</v>
      </c>
    </row>
    <row r="8">
      <c r="A8" s="1" t="inlineStr">
        <is>
          <t>DivStrip implied price</t>
        </is>
      </c>
      <c r="B8" t="n">
        <v>13.75792004689328</v>
      </c>
    </row>
    <row r="9">
      <c r="A9" s="1" t="inlineStr">
        <is>
          <t>12M TC cycle input Cape ($/day)</t>
        </is>
      </c>
      <c r="B9" t="n">
        <v>31550</v>
      </c>
    </row>
    <row r="10">
      <c r="A10" s="1" t="inlineStr">
        <is>
          <t>12M FFA strip Cape ($/day)</t>
        </is>
      </c>
      <c r="B10" t="n">
        <v>33287.5</v>
      </c>
    </row>
    <row r="11">
      <c r="A11" s="1" t="inlineStr">
        <is>
          <t>Cycle position</t>
        </is>
      </c>
      <c r="B11" t="n">
        <v>1.591674517581763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98658.98752475838</v>
      </c>
    </row>
    <row r="16">
      <c r="A16" s="1" t="inlineStr">
        <is>
          <t>Breakeven multiplier (× forward)</t>
        </is>
      </c>
      <c r="B16" t="n">
        <v>1.983918688945437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635.463999733674</v>
      </c>
    </row>
    <row r="3">
      <c r="A3" t="inlineStr">
        <is>
          <t>Fleet value — Suezmax</t>
        </is>
      </c>
      <c r="B3" t="n">
        <v>1282.234081828126</v>
      </c>
    </row>
    <row r="4">
      <c r="A4" t="inlineStr">
        <is>
          <t>Fleet value — Cape</t>
        </is>
      </c>
      <c r="B4" t="n">
        <v>4835.635990464123</v>
      </c>
    </row>
    <row r="5">
      <c r="A5" t="inlineStr">
        <is>
          <t>Fleet value — Pana</t>
        </is>
      </c>
      <c r="B5" t="n">
        <v>1034.436005486279</v>
      </c>
    </row>
    <row r="6">
      <c r="A6" t="inlineStr">
        <is>
          <t>Fleet value — Ctr-Large</t>
        </is>
      </c>
      <c r="B6" t="n">
        <v>257.25</v>
      </c>
    </row>
    <row r="7">
      <c r="A7" t="inlineStr">
        <is>
          <t>+ Cash &amp; equivalents</t>
        </is>
      </c>
      <c r="B7" t="n">
        <v>202.871</v>
      </c>
    </row>
    <row r="8">
      <c r="A8" t="inlineStr">
        <is>
          <t>+ Working capital (net)</t>
        </is>
      </c>
      <c r="B8" t="n">
        <v>912.136</v>
      </c>
    </row>
    <row r="9">
      <c r="A9" t="inlineStr">
        <is>
          <t>- Total debt</t>
        </is>
      </c>
      <c r="B9" t="n">
        <v>-5238.16</v>
      </c>
    </row>
    <row r="10">
      <c r="A10" t="inlineStr">
        <is>
          <t>- Lease liabilities</t>
        </is>
      </c>
      <c r="B10" t="n">
        <v>-6.232</v>
      </c>
    </row>
    <row r="11">
      <c r="A11" t="inlineStr">
        <is>
          <t>- Newbuild commitments</t>
        </is>
      </c>
      <c r="B11" t="n">
        <v>-0</v>
      </c>
    </row>
    <row r="12">
      <c r="A12" t="inlineStr">
        <is>
          <t>+ Newbuild advances</t>
        </is>
      </c>
      <c r="B12" t="n">
        <v>759.807</v>
      </c>
    </row>
    <row r="13">
      <c r="A13">
        <f> NAV total</f>
        <v/>
      </c>
      <c r="B13" t="n">
        <v>4775.442077512202</v>
      </c>
    </row>
    <row r="14">
      <c r="A14" t="inlineStr">
        <is>
          <t>Diluted shares</t>
        </is>
      </c>
      <c r="B14" t="n">
        <v>290169769</v>
      </c>
    </row>
    <row r="15">
      <c r="A15" t="inlineStr">
        <is>
          <t>NAV / share</t>
        </is>
      </c>
      <c r="B15" t="n">
        <v>16.45740731010542</v>
      </c>
    </row>
    <row r="16">
      <c r="A16" t="inlineStr">
        <is>
          <t>NAV / share (ex yard discount)</t>
        </is>
      </c>
      <c r="B16" t="n">
        <v>16.45740731010542</v>
      </c>
    </row>
    <row r="17">
      <c r="A17" t="inlineStr">
        <is>
          <t>Yard-discount impact / share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Cape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38800</v>
      </c>
      <c r="C2" t="n">
        <v>38800</v>
      </c>
      <c r="D2" t="n">
        <v>1.344894531380352</v>
      </c>
      <c r="E2" t="n">
        <v>0.672447265690176</v>
      </c>
      <c r="F2" t="n">
        <v>0.6551300000099703</v>
      </c>
    </row>
    <row r="3">
      <c r="A3" t="inlineStr">
        <is>
          <t>Q2</t>
        </is>
      </c>
      <c r="B3" t="n">
        <v>37250</v>
      </c>
      <c r="C3" t="n">
        <v>37250</v>
      </c>
      <c r="D3" t="n">
        <v>1.306085215410569</v>
      </c>
      <c r="E3" t="n">
        <v>0.6530426077052844</v>
      </c>
      <c r="F3" t="n">
        <v>0.6198406126705333</v>
      </c>
    </row>
    <row r="4">
      <c r="A4" t="inlineStr">
        <is>
          <t>Q3</t>
        </is>
      </c>
      <c r="B4" t="n">
        <v>25875</v>
      </c>
      <c r="C4" t="n">
        <v>25875</v>
      </c>
      <c r="D4" t="n">
        <v>0.6260085814194517</v>
      </c>
      <c r="E4" t="n">
        <v>0.3130042907097259</v>
      </c>
      <c r="F4" t="n">
        <v>0.2894396716721306</v>
      </c>
    </row>
    <row r="5">
      <c r="A5" t="inlineStr">
        <is>
          <t>Q4</t>
        </is>
      </c>
      <c r="B5" t="n">
        <v>31225</v>
      </c>
      <c r="C5" t="n">
        <v>31225</v>
      </c>
      <c r="D5" t="n">
        <v>0.7536867006896918</v>
      </c>
      <c r="E5" t="n">
        <v>0.3768433503448459</v>
      </c>
      <c r="F5" t="n">
        <v>0.3394985138241854</v>
      </c>
    </row>
    <row r="6">
      <c r="A6" t="inlineStr">
        <is>
          <t>Q5</t>
        </is>
      </c>
      <c r="B6" t="n">
        <v>31250</v>
      </c>
      <c r="C6" t="n">
        <v>31250</v>
      </c>
      <c r="D6" t="n">
        <v>0.5334023050829944</v>
      </c>
      <c r="E6" t="n">
        <v>0.2667011525414972</v>
      </c>
      <c r="F6" t="n">
        <v>0.2340836976135177</v>
      </c>
    </row>
    <row r="7">
      <c r="A7" t="inlineStr">
        <is>
          <t>Q6</t>
        </is>
      </c>
      <c r="B7" t="n">
        <v>31250</v>
      </c>
      <c r="C7" t="n">
        <v>31250</v>
      </c>
      <c r="D7" t="n">
        <v>0.5312881789212163</v>
      </c>
      <c r="E7" t="n">
        <v>0.2656440894606081</v>
      </c>
      <c r="F7" t="n">
        <v>0.2271515419242597</v>
      </c>
    </row>
    <row r="8">
      <c r="A8" t="inlineStr">
        <is>
          <t>Q7</t>
        </is>
      </c>
      <c r="B8" t="n">
        <v>30750</v>
      </c>
      <c r="C8" t="n">
        <v>30750</v>
      </c>
      <c r="D8" t="n">
        <v>0.5142241606154362</v>
      </c>
      <c r="E8" t="n">
        <v>0.2571120803077181</v>
      </c>
      <c r="F8" t="n">
        <v>0.2141939843080028</v>
      </c>
    </row>
    <row r="9">
      <c r="A9" t="inlineStr">
        <is>
          <t>Q8</t>
        </is>
      </c>
      <c r="B9" t="n">
        <v>30250</v>
      </c>
      <c r="C9" t="n">
        <v>30250</v>
      </c>
      <c r="D9" t="n">
        <v>0.4980661963789895</v>
      </c>
      <c r="E9" t="n">
        <v>0.2490330981894947</v>
      </c>
      <c r="F9" t="n">
        <v>0.2021208491108633</v>
      </c>
    </row>
    <row r="10">
      <c r="A10" t="inlineStr">
        <is>
          <t>Sum disc. DPS</t>
        </is>
      </c>
      <c r="F10" t="n">
        <v>2.781458871133463</v>
      </c>
    </row>
    <row r="11">
      <c r="A11" t="inlineStr">
        <is>
          <t>Terminal value (q9)</t>
        </is>
      </c>
      <c r="E11" t="n">
        <v>13.88158471792154</v>
      </c>
      <c r="F11" t="n">
        <v>10.97646117575982</v>
      </c>
    </row>
    <row r="12">
      <c r="A12" t="inlineStr">
        <is>
          <t>DivStrip implied price</t>
        </is>
      </c>
      <c r="F12" t="n">
        <v>13.75792004689328</v>
      </c>
    </row>
    <row r="13">
      <c r="A13" t="inlineStr">
        <is>
          <t>12M FFA strip (front 4q)</t>
        </is>
      </c>
      <c r="B13" t="n">
        <v>33287.5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9.893762437481392</v>
      </c>
      <c r="C2" t="n">
        <v>12.35867059552423</v>
      </c>
      <c r="D2" t="n">
        <v>14.82357875356705</v>
      </c>
      <c r="E2" t="n">
        <v>17.28848691160989</v>
      </c>
      <c r="F2" t="n">
        <v>19.75339506965272</v>
      </c>
    </row>
    <row r="3">
      <c r="A3" t="inlineStr">
        <is>
          <t>-15%</t>
        </is>
      </c>
      <c r="B3" t="n">
        <v>10.30575362626875</v>
      </c>
      <c r="C3" t="n">
        <v>12.77066178431159</v>
      </c>
      <c r="D3" t="n">
        <v>15.23556994235441</v>
      </c>
      <c r="E3" t="n">
        <v>17.70047810039725</v>
      </c>
      <c r="F3" t="n">
        <v>20.16538625844008</v>
      </c>
    </row>
    <row r="4">
      <c r="A4" t="inlineStr">
        <is>
          <t>+0%</t>
        </is>
      </c>
      <c r="B4" t="n">
        <v>10.71774481505611</v>
      </c>
      <c r="C4" t="n">
        <v>13.18265297309895</v>
      </c>
      <c r="D4" t="n">
        <v>15.64756113114178</v>
      </c>
      <c r="E4" t="n">
        <v>18.11246928918461</v>
      </c>
      <c r="F4" t="n">
        <v>20.57737744722744</v>
      </c>
    </row>
    <row r="5">
      <c r="A5" t="inlineStr">
        <is>
          <t>+15%</t>
        </is>
      </c>
      <c r="B5" t="n">
        <v>11.12973600384348</v>
      </c>
      <c r="C5" t="n">
        <v>13.59464416188631</v>
      </c>
      <c r="D5" t="n">
        <v>16.05955231992914</v>
      </c>
      <c r="E5" t="n">
        <v>18.52446047797197</v>
      </c>
      <c r="F5" t="n">
        <v>20.98936863601481</v>
      </c>
    </row>
    <row r="6">
      <c r="A6" t="inlineStr">
        <is>
          <t>+30%</t>
        </is>
      </c>
      <c r="B6" t="n">
        <v>11.54172719263084</v>
      </c>
      <c r="C6" t="n">
        <v>14.00663535067367</v>
      </c>
      <c r="D6" t="n">
        <v>16.4715435087165</v>
      </c>
      <c r="E6" t="n">
        <v>18.93645166675934</v>
      </c>
      <c r="F6" t="n">
        <v>21.40135982480217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15.71</v>
      </c>
    </row>
    <row r="3">
      <c r="A3" t="n">
        <v>0.95</v>
      </c>
      <c r="B3" t="n">
        <v>15.75</v>
      </c>
    </row>
    <row r="4">
      <c r="A4" t="n">
        <v>1</v>
      </c>
      <c r="B4" t="n">
        <v>15.76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$488,900/day is 12.2x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2026-08-29T21:34:30Z</dcterms:created>
  <dcterms:modified xsi:type="dcterms:W3CDTF">2026-08-29T21:34:30Z</dcterms:modified>
</cp:coreProperties>
</file>