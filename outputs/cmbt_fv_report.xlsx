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CMBT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15.78</v>
      </c>
    </row>
    <row r="5">
      <c r="A5" s="1" t="inlineStr">
        <is>
          <t>Model fair value</t>
        </is>
      </c>
      <c r="B5" t="n">
        <v>15.24686446801159</v>
      </c>
    </row>
    <row r="6">
      <c r="A6" s="1" t="inlineStr">
        <is>
          <t>Analyst target</t>
        </is>
      </c>
      <c r="B6" t="n">
        <v>16.59</v>
      </c>
    </row>
    <row r="7">
      <c r="A7" s="1" t="inlineStr">
        <is>
          <t>NAV / share</t>
        </is>
      </c>
      <c r="B7" t="n">
        <v>15.86977926497469</v>
      </c>
    </row>
    <row r="8">
      <c r="A8" s="1" t="inlineStr">
        <is>
          <t>DivStrip implied price</t>
        </is>
      </c>
      <c r="B8" t="n">
        <v>13.79339660843105</v>
      </c>
    </row>
    <row r="9">
      <c r="A9" s="1" t="inlineStr">
        <is>
          <t>12M TC cycle input Cape ($/day)</t>
        </is>
      </c>
      <c r="B9" t="n">
        <v>35300</v>
      </c>
    </row>
    <row r="10">
      <c r="A10" s="1" t="inlineStr">
        <is>
          <t>12M FFA strip Cape ($/day)</t>
        </is>
      </c>
      <c r="B10" t="n">
        <v>32450</v>
      </c>
    </row>
    <row r="11">
      <c r="A11" s="1" t="inlineStr">
        <is>
          <t>Cycle position</t>
        </is>
      </c>
      <c r="B11" t="n">
        <v>1.729852435412692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58886.54754499982</v>
      </c>
    </row>
    <row r="16">
      <c r="A16" s="1" t="inlineStr">
        <is>
          <t>Breakeven multiplier (× forward)</t>
        </is>
      </c>
      <c r="B16" t="n">
        <v>1.183591788001617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624.4260092509445</v>
      </c>
    </row>
    <row r="3">
      <c r="A3" t="inlineStr">
        <is>
          <t>Fleet value — Suezmax</t>
        </is>
      </c>
      <c r="B3" t="n">
        <v>1266.238719977394</v>
      </c>
    </row>
    <row r="4">
      <c r="A4" t="inlineStr">
        <is>
          <t>Fleet value — Cape</t>
        </is>
      </c>
      <c r="B4" t="n">
        <v>4746.183229374264</v>
      </c>
    </row>
    <row r="5">
      <c r="A5" t="inlineStr">
        <is>
          <t>Fleet value — Pana</t>
        </is>
      </c>
      <c r="B5" t="n">
        <v>980.4102247960903</v>
      </c>
    </row>
    <row r="6">
      <c r="A6" t="inlineStr">
        <is>
          <t>Fleet value — Ctr-Large</t>
        </is>
      </c>
      <c r="B6" t="n">
        <v>257.25</v>
      </c>
    </row>
    <row r="7">
      <c r="A7" t="inlineStr">
        <is>
          <t>+ Cash &amp; equivalents</t>
        </is>
      </c>
      <c r="B7" t="n">
        <v>202.871</v>
      </c>
    </row>
    <row r="8">
      <c r="A8" t="inlineStr">
        <is>
          <t>+ Working capital (net)</t>
        </is>
      </c>
      <c r="B8" t="n">
        <v>912.136</v>
      </c>
    </row>
    <row r="9">
      <c r="A9" t="inlineStr">
        <is>
          <t>- Total debt</t>
        </is>
      </c>
      <c r="B9" t="n">
        <v>-5238.16</v>
      </c>
    </row>
    <row r="10">
      <c r="A10" t="inlineStr">
        <is>
          <t>- Lease liabilities</t>
        </is>
      </c>
      <c r="B10" t="n">
        <v>-6.232</v>
      </c>
    </row>
    <row r="11">
      <c r="A11" t="inlineStr">
        <is>
          <t>- Newbuild commitments</t>
        </is>
      </c>
      <c r="B11" t="n">
        <v>-0</v>
      </c>
    </row>
    <row r="12">
      <c r="A12" t="inlineStr">
        <is>
          <t>+ Newbuild advances</t>
        </is>
      </c>
      <c r="B12" t="n">
        <v>759.807</v>
      </c>
    </row>
    <row r="13">
      <c r="A13">
        <f> NAV total</f>
        <v/>
      </c>
      <c r="B13" t="n">
        <v>4604.930183398695</v>
      </c>
    </row>
    <row r="14">
      <c r="A14" t="inlineStr">
        <is>
          <t>Diluted shares</t>
        </is>
      </c>
      <c r="B14" t="n">
        <v>290169769</v>
      </c>
    </row>
    <row r="15">
      <c r="A15" t="inlineStr">
        <is>
          <t>NAV / share</t>
        </is>
      </c>
      <c r="B15" t="n">
        <v>15.86977926497469</v>
      </c>
    </row>
    <row r="16">
      <c r="A16" t="inlineStr">
        <is>
          <t>NAV / share (ex yard discount)</t>
        </is>
      </c>
      <c r="B16" t="n">
        <v>15.86977926497469</v>
      </c>
    </row>
    <row r="17">
      <c r="A17" t="inlineStr">
        <is>
          <t>Yard-discount impact / share</t>
        </is>
      </c>
      <c r="B1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35400</v>
      </c>
      <c r="C2" t="n">
        <v>35400</v>
      </c>
      <c r="D2" t="n">
        <v>1.039856328038087</v>
      </c>
      <c r="E2" t="n">
        <v>0.5199281640190436</v>
      </c>
      <c r="F2" t="n">
        <v>0.5065386618077465</v>
      </c>
    </row>
    <row r="3">
      <c r="A3" t="inlineStr">
        <is>
          <t>Q2</t>
        </is>
      </c>
      <c r="B3" t="n">
        <v>35200</v>
      </c>
      <c r="C3" t="n">
        <v>35200</v>
      </c>
      <c r="D3" t="n">
        <v>1.157492348039882</v>
      </c>
      <c r="E3" t="n">
        <v>0.5787461740199408</v>
      </c>
      <c r="F3" t="n">
        <v>0.549321558582194</v>
      </c>
    </row>
    <row r="4">
      <c r="A4" t="inlineStr">
        <is>
          <t>Q3</t>
        </is>
      </c>
      <c r="B4" t="n">
        <v>30100</v>
      </c>
      <c r="C4" t="n">
        <v>30100</v>
      </c>
      <c r="D4" t="n">
        <v>0.9645028312718545</v>
      </c>
      <c r="E4" t="n">
        <v>0.4822514156359273</v>
      </c>
      <c r="F4" t="n">
        <v>0.4459449775866787</v>
      </c>
    </row>
    <row r="5">
      <c r="A5" t="inlineStr">
        <is>
          <t>Q4</t>
        </is>
      </c>
      <c r="B5" t="n">
        <v>29100</v>
      </c>
      <c r="C5" t="n">
        <v>29100</v>
      </c>
      <c r="D5" t="n">
        <v>0.7654729540416045</v>
      </c>
      <c r="E5" t="n">
        <v>0.3827364770208023</v>
      </c>
      <c r="F5" t="n">
        <v>0.3448076369556777</v>
      </c>
    </row>
    <row r="6">
      <c r="A6" t="inlineStr">
        <is>
          <t>Q5</t>
        </is>
      </c>
      <c r="B6" t="n">
        <v>28100</v>
      </c>
      <c r="C6" t="n">
        <v>28100</v>
      </c>
      <c r="D6" t="n">
        <v>0.6848341418709266</v>
      </c>
      <c r="E6" t="n">
        <v>0.3424170709354633</v>
      </c>
      <c r="F6" t="n">
        <v>0.3005395864500132</v>
      </c>
    </row>
    <row r="7">
      <c r="A7" t="inlineStr">
        <is>
          <t>Q6</t>
        </is>
      </c>
      <c r="B7" t="n">
        <v>27100</v>
      </c>
      <c r="C7" t="n">
        <v>27100</v>
      </c>
      <c r="D7" t="n">
        <v>0.770305242411383</v>
      </c>
      <c r="E7" t="n">
        <v>0.3851526212056915</v>
      </c>
      <c r="F7" t="n">
        <v>0.3293429639661401</v>
      </c>
    </row>
    <row r="8">
      <c r="A8" t="inlineStr">
        <is>
          <t>Q7</t>
        </is>
      </c>
      <c r="B8" t="n">
        <v>26600</v>
      </c>
      <c r="C8" t="n">
        <v>26600</v>
      </c>
      <c r="D8" t="n">
        <v>0.784953116532274</v>
      </c>
      <c r="E8" t="n">
        <v>0.392476558266137</v>
      </c>
      <c r="F8" t="n">
        <v>0.326962924736572</v>
      </c>
    </row>
    <row r="9">
      <c r="A9" t="inlineStr">
        <is>
          <t>Q8</t>
        </is>
      </c>
      <c r="B9" t="n">
        <v>26100</v>
      </c>
      <c r="C9" t="n">
        <v>26100</v>
      </c>
      <c r="D9" t="n">
        <v>0.5975509331918033</v>
      </c>
      <c r="E9" t="n">
        <v>0.2987754665959017</v>
      </c>
      <c r="F9" t="n">
        <v>0.2424928711921935</v>
      </c>
    </row>
    <row r="10">
      <c r="A10" t="inlineStr">
        <is>
          <t>Sum disc. DPS</t>
        </is>
      </c>
      <c r="F10" t="n">
        <v>3.045951181277216</v>
      </c>
    </row>
    <row r="11">
      <c r="A11" t="inlineStr">
        <is>
          <t>Terminal value (q9)</t>
        </is>
      </c>
      <c r="E11" t="n">
        <v>13.59195571408259</v>
      </c>
      <c r="F11" t="n">
        <v>10.74744542715383</v>
      </c>
    </row>
    <row r="12">
      <c r="A12" t="inlineStr">
        <is>
          <t>DivStrip implied price</t>
        </is>
      </c>
      <c r="F12" t="n">
        <v>13.79339660843105</v>
      </c>
    </row>
    <row r="13">
      <c r="A13" t="inlineStr">
        <is>
          <t>12M FFA strip (front 4q)</t>
        </is>
      </c>
      <c r="B13" t="n">
        <v>32450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9.557474080896561</v>
      </c>
      <c r="C2" t="n">
        <v>11.9665815465457</v>
      </c>
      <c r="D2" t="n">
        <v>14.37568901219484</v>
      </c>
      <c r="E2" t="n">
        <v>16.78479647784398</v>
      </c>
      <c r="F2" t="n">
        <v>19.19390394349311</v>
      </c>
    </row>
    <row r="3">
      <c r="A3" t="inlineStr">
        <is>
          <t>-15%</t>
        </is>
      </c>
      <c r="B3" t="n">
        <v>9.993061808804939</v>
      </c>
      <c r="C3" t="n">
        <v>12.40216927445407</v>
      </c>
      <c r="D3" t="n">
        <v>14.81127674010322</v>
      </c>
      <c r="E3" t="n">
        <v>17.22038420575235</v>
      </c>
      <c r="F3" t="n">
        <v>19.62949167140149</v>
      </c>
    </row>
    <row r="4">
      <c r="A4" t="inlineStr">
        <is>
          <t>+0%</t>
        </is>
      </c>
      <c r="B4" t="n">
        <v>10.42864953671332</v>
      </c>
      <c r="C4" t="n">
        <v>12.83775700236245</v>
      </c>
      <c r="D4" t="n">
        <v>15.24686446801159</v>
      </c>
      <c r="E4" t="n">
        <v>17.65597193366073</v>
      </c>
      <c r="F4" t="n">
        <v>20.06507939930987</v>
      </c>
    </row>
    <row r="5">
      <c r="A5" t="inlineStr">
        <is>
          <t>+15%</t>
        </is>
      </c>
      <c r="B5" t="n">
        <v>10.86423726462169</v>
      </c>
      <c r="C5" t="n">
        <v>13.27334473027083</v>
      </c>
      <c r="D5" t="n">
        <v>15.68245219591997</v>
      </c>
      <c r="E5" t="n">
        <v>18.09155966156911</v>
      </c>
      <c r="F5" t="n">
        <v>20.50066712721824</v>
      </c>
    </row>
    <row r="6">
      <c r="A6" t="inlineStr">
        <is>
          <t>+30%</t>
        </is>
      </c>
      <c r="B6" t="n">
        <v>11.29982499253007</v>
      </c>
      <c r="C6" t="n">
        <v>13.7089324581792</v>
      </c>
      <c r="D6" t="n">
        <v>16.11803992382835</v>
      </c>
      <c r="E6" t="n">
        <v>18.52714738947748</v>
      </c>
      <c r="F6" t="n">
        <v>20.93625485512662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15.31</v>
      </c>
    </row>
    <row r="3">
      <c r="A3" t="n">
        <v>0.95</v>
      </c>
      <c r="B3" t="n">
        <v>15.35</v>
      </c>
    </row>
    <row r="4">
      <c r="A4" t="n">
        <v>1</v>
      </c>
      <c r="B4" t="n">
        <v>15.36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2026-07-15T16:47:53Z</dcterms:created>
  <dcterms:modified xsi:type="dcterms:W3CDTF">2026-07-15T16:47:53Z</dcterms:modified>
</cp:coreProperties>
</file>