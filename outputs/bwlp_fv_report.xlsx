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Ticker</t>
        </is>
      </c>
      <c r="B1" t="inlineStr">
        <is>
          <t>BWLP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2026-Q1</t>
        </is>
      </c>
    </row>
    <row r="4">
      <c r="A4" s="1" t="inlineStr">
        <is>
          <t>Current price</t>
        </is>
      </c>
      <c r="B4" t="n">
        <v>21.6026</v>
      </c>
    </row>
    <row r="5">
      <c r="A5" s="1" t="inlineStr">
        <is>
          <t>Model fair value</t>
        </is>
      </c>
      <c r="B5" t="n">
        <v>15.43382950866348</v>
      </c>
    </row>
    <row r="6">
      <c r="A6" s="1" t="inlineStr">
        <is>
          <t>Analyst target</t>
        </is>
      </c>
      <c r="B6" t="n">
        <v>17.52</v>
      </c>
    </row>
    <row r="7">
      <c r="A7" s="1" t="inlineStr">
        <is>
          <t>NAV / share</t>
        </is>
      </c>
      <c r="B7" t="n">
        <v>15.803546906698</v>
      </c>
    </row>
    <row r="8">
      <c r="A8" s="1" t="inlineStr">
        <is>
          <t>DivStrip implied price</t>
        </is>
      </c>
      <c r="B8" t="n">
        <v>14.57115557991628</v>
      </c>
    </row>
    <row r="9">
      <c r="A9" s="1" t="inlineStr">
        <is>
          <t>12M TC cycle input VLGC ($/day)</t>
        </is>
      </c>
      <c r="B9" t="n">
        <v>63615</v>
      </c>
    </row>
    <row r="10">
      <c r="A10" s="1" t="inlineStr">
        <is>
          <t>12M FFA strip VLGC ($/day)</t>
        </is>
      </c>
      <c r="B10" t="n">
        <v>52500</v>
      </c>
    </row>
    <row r="11">
      <c r="A11" s="1" t="inlineStr">
        <is>
          <t>Cycle position</t>
        </is>
      </c>
      <c r="B11" t="n">
        <v>1.590375</v>
      </c>
    </row>
    <row r="12">
      <c r="A12" s="1" t="inlineStr">
        <is>
          <t>Cycle band</t>
        </is>
      </c>
      <c r="B12" t="inlineStr">
        <is>
          <t>late-cycle/peak</t>
        </is>
      </c>
    </row>
    <row r="13">
      <c r="A13" s="1" t="inlineStr">
        <is>
          <t>w_nav</t>
        </is>
      </c>
      <c r="B13" t="n">
        <v>0.7</v>
      </c>
    </row>
    <row r="14">
      <c r="A14" s="1" t="inlineStr">
        <is>
          <t>w_earn</t>
        </is>
      </c>
      <c r="B14" t="n">
        <v>0.3</v>
      </c>
    </row>
    <row r="15">
      <c r="A15" s="1" t="inlineStr">
        <is>
          <t>Implied breakeven blended ($/day)</t>
        </is>
      </c>
      <c r="B15" t="n">
        <v>196627.3930801724</v>
      </c>
    </row>
    <row r="16">
      <c r="A16" s="1" t="inlineStr">
        <is>
          <t>Breakeven multiplier (× forward)</t>
        </is>
      </c>
      <c r="B16" t="n">
        <v>3.745283677717571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VLGC</t>
        </is>
      </c>
      <c r="B2" t="n">
        <v>3046.357152221594</v>
      </c>
    </row>
    <row r="3">
      <c r="A3" t="inlineStr">
        <is>
          <t>+ Cash &amp; equivalents</t>
        </is>
      </c>
      <c r="B3" t="n">
        <v>273.076</v>
      </c>
    </row>
    <row r="4">
      <c r="A4" t="inlineStr">
        <is>
          <t>+ Working capital (net)</t>
        </is>
      </c>
      <c r="B4" t="n">
        <v>176.607</v>
      </c>
    </row>
    <row r="5">
      <c r="A5" t="inlineStr">
        <is>
          <t>- Total debt</t>
        </is>
      </c>
      <c r="B5" t="n">
        <v>-763.923</v>
      </c>
    </row>
    <row r="6">
      <c r="A6" t="inlineStr">
        <is>
          <t>- Lease liabilities</t>
        </is>
      </c>
      <c r="B6" t="n">
        <v>-133.908</v>
      </c>
    </row>
    <row r="7">
      <c r="A7" t="inlineStr">
        <is>
          <t>- Newbuild commitments</t>
        </is>
      </c>
      <c r="B7" t="n">
        <v>-0</v>
      </c>
    </row>
    <row r="8">
      <c r="A8" t="inlineStr">
        <is>
          <t>+ Newbuild advances</t>
        </is>
      </c>
      <c r="B8" t="n">
        <v>0</v>
      </c>
    </row>
    <row r="9">
      <c r="A9">
        <f> NAV total</f>
        <v/>
      </c>
      <c r="B9" t="n">
        <v>2399.209152221594</v>
      </c>
    </row>
    <row r="10">
      <c r="A10" t="inlineStr">
        <is>
          <t>Diluted shares</t>
        </is>
      </c>
      <c r="B10" t="n">
        <v>151814600</v>
      </c>
    </row>
    <row r="11">
      <c r="A11" t="inlineStr">
        <is>
          <t>NAV / share</t>
        </is>
      </c>
      <c r="B11" t="n">
        <v>15.803546906698</v>
      </c>
    </row>
    <row r="12">
      <c r="A12" t="inlineStr">
        <is>
          <t>NAV / share (ex yard discount)</t>
        </is>
      </c>
      <c r="B12" t="n">
        <v>15.803546906698</v>
      </c>
    </row>
    <row r="13">
      <c r="A13" t="inlineStr">
        <is>
          <t>Yard-discount impact / share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1" customWidth="1" min="3" max="3"/>
    <col width="20" customWidth="1" min="4" max="4"/>
    <col width="21" customWidth="1" min="5" max="5"/>
    <col width="21" customWidth="1" min="6" max="6"/>
  </cols>
  <sheetData>
    <row r="1">
      <c r="A1" s="1" t="inlineStr">
        <is>
          <t>Quarter</t>
        </is>
      </c>
      <c r="B1" s="1" t="inlineStr">
        <is>
          <t>FFA spot VLGC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62000</v>
      </c>
      <c r="C2" t="n">
        <v>62000</v>
      </c>
      <c r="D2" t="n">
        <v>1.024316579235462</v>
      </c>
      <c r="E2" t="n">
        <v>0.7682374344265968</v>
      </c>
      <c r="F2" t="n">
        <v>0.7484533228148254</v>
      </c>
    </row>
    <row r="3">
      <c r="A3" t="inlineStr">
        <is>
          <t>Q2</t>
        </is>
      </c>
      <c r="B3" t="n">
        <v>55000</v>
      </c>
      <c r="C3" t="n">
        <v>55000</v>
      </c>
      <c r="D3" t="n">
        <v>0.8643124697822212</v>
      </c>
      <c r="E3" t="n">
        <v>0.6482343523366659</v>
      </c>
      <c r="F3" t="n">
        <v>0.6152768186417892</v>
      </c>
    </row>
    <row r="4">
      <c r="A4" t="inlineStr">
        <is>
          <t>Q3</t>
        </is>
      </c>
      <c r="B4" t="n">
        <v>48000</v>
      </c>
      <c r="C4" t="n">
        <v>48000</v>
      </c>
      <c r="D4" t="n">
        <v>0.7043083603289803</v>
      </c>
      <c r="E4" t="n">
        <v>0.5282312702467352</v>
      </c>
      <c r="F4" t="n">
        <v>0.4884632254736589</v>
      </c>
    </row>
    <row r="5">
      <c r="A5" t="inlineStr">
        <is>
          <t>Q4</t>
        </is>
      </c>
      <c r="B5" t="n">
        <v>45000</v>
      </c>
      <c r="C5" t="n">
        <v>45000</v>
      </c>
      <c r="D5" t="n">
        <v>0.6357351705633055</v>
      </c>
      <c r="E5" t="n">
        <v>0.4768013779224791</v>
      </c>
      <c r="F5" t="n">
        <v>0.4295507909211523</v>
      </c>
    </row>
    <row r="6">
      <c r="A6" t="inlineStr">
        <is>
          <t>Q5</t>
        </is>
      </c>
      <c r="B6" t="n">
        <v>43000</v>
      </c>
      <c r="C6" t="n">
        <v>43000</v>
      </c>
      <c r="D6" t="n">
        <v>0.5900197107195224</v>
      </c>
      <c r="E6" t="n">
        <v>0.4425147830396418</v>
      </c>
      <c r="F6" t="n">
        <v>0.3883953844048185</v>
      </c>
    </row>
    <row r="7">
      <c r="A7" t="inlineStr">
        <is>
          <t>Q6</t>
        </is>
      </c>
      <c r="B7" t="n">
        <v>42000</v>
      </c>
      <c r="C7" t="n">
        <v>42000</v>
      </c>
      <c r="D7" t="n">
        <v>0.5671619807976308</v>
      </c>
      <c r="E7" t="n">
        <v>0.4253714855982231</v>
      </c>
      <c r="F7" t="n">
        <v>0.3637340060546598</v>
      </c>
    </row>
    <row r="8">
      <c r="A8" t="inlineStr">
        <is>
          <t>Q7</t>
        </is>
      </c>
      <c r="B8" t="n">
        <v>41000</v>
      </c>
      <c r="C8" t="n">
        <v>41000</v>
      </c>
      <c r="D8" t="n">
        <v>0.5443042508757392</v>
      </c>
      <c r="E8" t="n">
        <v>0.4082281881568044</v>
      </c>
      <c r="F8" t="n">
        <v>0.3400852345152067</v>
      </c>
    </row>
    <row r="9">
      <c r="A9" t="inlineStr">
        <is>
          <t>Q8</t>
        </is>
      </c>
      <c r="B9" t="n">
        <v>40000</v>
      </c>
      <c r="C9" t="n">
        <v>40000</v>
      </c>
      <c r="D9" t="n">
        <v>0.5214465209538477</v>
      </c>
      <c r="E9" t="n">
        <v>0.3910848907153858</v>
      </c>
      <c r="F9" t="n">
        <v>0.3174132706074067</v>
      </c>
    </row>
    <row r="10">
      <c r="A10" t="inlineStr">
        <is>
          <t>Sum disc. DPS</t>
        </is>
      </c>
      <c r="F10" t="n">
        <v>3.691372053433517</v>
      </c>
    </row>
    <row r="11">
      <c r="A11" t="inlineStr">
        <is>
          <t>Terminal value (q9)</t>
        </is>
      </c>
      <c r="E11" t="n">
        <v>13.7593195399849</v>
      </c>
      <c r="F11" t="n">
        <v>10.87978352648276</v>
      </c>
    </row>
    <row r="12">
      <c r="A12" t="inlineStr">
        <is>
          <t>DivStrip implied price</t>
        </is>
      </c>
      <c r="F12" t="n">
        <v>14.57115557991628</v>
      </c>
    </row>
    <row r="13">
      <c r="A13" t="inlineStr">
        <is>
          <t>12M FFA strip (front 4q)</t>
        </is>
      </c>
      <c r="B13" t="n">
        <v>52500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11.16006935487133</v>
      </c>
      <c r="C2" t="n">
        <v>12.95989298065784</v>
      </c>
      <c r="D2" t="n">
        <v>14.75971660644437</v>
      </c>
      <c r="E2" t="n">
        <v>16.5595402322309</v>
      </c>
      <c r="F2" t="n">
        <v>18.35936385801741</v>
      </c>
    </row>
    <row r="3">
      <c r="A3" t="inlineStr">
        <is>
          <t>-15%</t>
        </is>
      </c>
      <c r="B3" t="n">
        <v>11.49712580598088</v>
      </c>
      <c r="C3" t="n">
        <v>13.2969494317674</v>
      </c>
      <c r="D3" t="n">
        <v>15.09677305755393</v>
      </c>
      <c r="E3" t="n">
        <v>16.89659668334046</v>
      </c>
      <c r="F3" t="n">
        <v>18.69642030912696</v>
      </c>
    </row>
    <row r="4">
      <c r="A4" t="inlineStr">
        <is>
          <t>+0%</t>
        </is>
      </c>
      <c r="B4" t="n">
        <v>11.83418225709044</v>
      </c>
      <c r="C4" t="n">
        <v>13.63400588287696</v>
      </c>
      <c r="D4" t="n">
        <v>15.43382950866348</v>
      </c>
      <c r="E4" t="n">
        <v>17.23365313445002</v>
      </c>
      <c r="F4" t="n">
        <v>19.03347676023652</v>
      </c>
    </row>
    <row r="5">
      <c r="A5" t="inlineStr">
        <is>
          <t>+15%</t>
        </is>
      </c>
      <c r="B5" t="n">
        <v>12.1712387082</v>
      </c>
      <c r="C5" t="n">
        <v>13.97106233398651</v>
      </c>
      <c r="D5" t="n">
        <v>15.77088595977304</v>
      </c>
      <c r="E5" t="n">
        <v>17.57070958555957</v>
      </c>
      <c r="F5" t="n">
        <v>19.37053321134608</v>
      </c>
    </row>
    <row r="6">
      <c r="A6" t="inlineStr">
        <is>
          <t>+30%</t>
        </is>
      </c>
      <c r="B6" t="n">
        <v>12.50829515930955</v>
      </c>
      <c r="C6" t="n">
        <v>14.30811878509607</v>
      </c>
      <c r="D6" t="n">
        <v>16.1079424108826</v>
      </c>
      <c r="E6" t="n">
        <v>17.90776603666913</v>
      </c>
      <c r="F6" t="n">
        <v>19.70758966245564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15.44</v>
      </c>
    </row>
    <row r="3">
      <c r="A3" t="n">
        <v>0.95</v>
      </c>
      <c r="B3" t="n">
        <v>15.47</v>
      </c>
    </row>
    <row r="4">
      <c r="A4" t="n">
        <v>1</v>
      </c>
      <c r="B4" t="n">
        <v>15.48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2026-08-08T22:12:41Z</dcterms:created>
  <dcterms:modified xsi:type="dcterms:W3CDTF">2026-08-08T22:12:41Z</dcterms:modified>
</cp:coreProperties>
</file>