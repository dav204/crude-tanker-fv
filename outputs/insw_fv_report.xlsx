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50.94942281238824</v>
      </c>
    </row>
    <row r="5">
      <c r="A5" s="1" t="inlineStr">
        <is>
          <t>Model fair value</t>
        </is>
      </c>
      <c r="B5" t="n">
        <v>37.34366692878324</v>
      </c>
    </row>
    <row r="6">
      <c r="A6" s="1" t="inlineStr">
        <is>
          <t>Analyst target (crude-allocated)</t>
        </is>
      </c>
      <c r="B6" t="n">
        <v>51.92921940493417</v>
      </c>
    </row>
    <row r="7">
      <c r="A7" s="1" t="inlineStr">
        <is>
          <t>NAV / share</t>
        </is>
      </c>
      <c r="B7" t="n">
        <v>34.81001159107367</v>
      </c>
    </row>
    <row r="8">
      <c r="A8" s="1" t="inlineStr">
        <is>
          <t>DivStrip implied price</t>
        </is>
      </c>
      <c r="B8" t="n">
        <v>43.25552938343893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2.400191591470429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341876.7800376925</v>
      </c>
    </row>
    <row r="16">
      <c r="A16" s="1" t="inlineStr">
        <is>
          <t>Breakeven multiplier (× forward)</t>
        </is>
      </c>
      <c r="B16" t="n">
        <v>3.100552436103905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790.6394326974544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246.1556043407702</v>
      </c>
    </row>
    <row r="7">
      <c r="A7" t="inlineStr">
        <is>
          <t>+ Working capital (net)</t>
        </is>
      </c>
      <c r="B7" t="n">
        <v>149.7462324251643</v>
      </c>
    </row>
    <row r="8">
      <c r="A8" t="inlineStr">
        <is>
          <t>- Total debt</t>
        </is>
      </c>
      <c r="B8" t="n">
        <v>-365.1773752168793</v>
      </c>
    </row>
    <row r="9">
      <c r="A9" t="inlineStr">
        <is>
          <t>- Lease liabilities</t>
        </is>
      </c>
      <c r="B9" t="n">
        <v>-5.251709736046172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1730.057576076361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34.81001159107367</v>
      </c>
    </row>
    <row r="15">
      <c r="A15" t="inlineStr">
        <is>
          <t>NAV / share (ex yard discount)</t>
        </is>
      </c>
      <c r="B15" t="n">
        <v>35.64189398436356</v>
      </c>
    </row>
    <row r="16">
      <c r="A16" t="inlineStr">
        <is>
          <t>Yard-discount impact / share</t>
        </is>
      </c>
      <c r="B16" t="n">
        <v>-0.8318823932898951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3.885767508406123</v>
      </c>
      <c r="E2" t="n">
        <v>2.840037255884286</v>
      </c>
      <c r="F2" t="n">
        <v>2.766898911494779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4.88115952249063</v>
      </c>
      <c r="E3" t="n">
        <v>3.536811665743441</v>
      </c>
      <c r="F3" t="n">
        <v>3.356993072011102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4.429421128124432</v>
      </c>
      <c r="E4" t="n">
        <v>3.220594789687103</v>
      </c>
      <c r="F4" t="n">
        <v>2.978131374500818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3.142786103476546</v>
      </c>
      <c r="E5" t="n">
        <v>2.319950272433582</v>
      </c>
      <c r="F5" t="n">
        <v>2.090045290480704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2.765149906293447</v>
      </c>
      <c r="E6" t="n">
        <v>2.055604934405413</v>
      </c>
      <c r="F6" t="n">
        <v>1.80420519106434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3.600759057701898</v>
      </c>
      <c r="E7" t="n">
        <v>2.640531340391328</v>
      </c>
      <c r="F7" t="n">
        <v>2.257911202493236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3.874901561223024</v>
      </c>
      <c r="E8" t="n">
        <v>2.832431092856117</v>
      </c>
      <c r="F8" t="n">
        <v>2.359631256262332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2.576688068265278</v>
      </c>
      <c r="E9" t="n">
        <v>1.923681647785694</v>
      </c>
      <c r="F9" t="n">
        <v>1.561303179762758</v>
      </c>
    </row>
    <row r="10">
      <c r="A10" t="inlineStr">
        <is>
          <t>Sum disc. DPS</t>
        </is>
      </c>
      <c r="F10" t="n">
        <v>19.17511947807007</v>
      </c>
    </row>
    <row r="11">
      <c r="A11" t="inlineStr">
        <is>
          <t>Terminal value (q9)</t>
        </is>
      </c>
      <c r="E11" t="n">
        <v>30.45373593466163</v>
      </c>
      <c r="F11" t="n">
        <v>24.08040990536886</v>
      </c>
    </row>
    <row r="12">
      <c r="A12" t="inlineStr">
        <is>
          <t>DivStrip implied price</t>
        </is>
      </c>
      <c r="F12" t="n">
        <v>43.25552938343893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29.17834281516769</v>
      </c>
      <c r="C2" t="n">
        <v>32.289420755596</v>
      </c>
      <c r="D2" t="n">
        <v>35.40049869602431</v>
      </c>
      <c r="E2" t="n">
        <v>38.51157663645262</v>
      </c>
      <c r="F2" t="n">
        <v>41.62265457688093</v>
      </c>
    </row>
    <row r="3">
      <c r="A3" t="inlineStr">
        <is>
          <t>-15%</t>
        </is>
      </c>
      <c r="B3" t="n">
        <v>30.14992693154716</v>
      </c>
      <c r="C3" t="n">
        <v>33.26100487197547</v>
      </c>
      <c r="D3" t="n">
        <v>36.37208281240378</v>
      </c>
      <c r="E3" t="n">
        <v>39.48316075283209</v>
      </c>
      <c r="F3" t="n">
        <v>42.59423869326041</v>
      </c>
    </row>
    <row r="4">
      <c r="A4" t="inlineStr">
        <is>
          <t>+0%</t>
        </is>
      </c>
      <c r="B4" t="n">
        <v>31.12151104792662</v>
      </c>
      <c r="C4" t="n">
        <v>34.23258898835493</v>
      </c>
      <c r="D4" t="n">
        <v>37.34366692878324</v>
      </c>
      <c r="E4" t="n">
        <v>40.45474486921156</v>
      </c>
      <c r="F4" t="n">
        <v>43.56582280963987</v>
      </c>
    </row>
    <row r="5">
      <c r="A5" t="inlineStr">
        <is>
          <t>+15%</t>
        </is>
      </c>
      <c r="B5" t="n">
        <v>32.09309516430609</v>
      </c>
      <c r="C5" t="n">
        <v>35.2041731047344</v>
      </c>
      <c r="D5" t="n">
        <v>38.31525104516271</v>
      </c>
      <c r="E5" t="n">
        <v>41.42632898559103</v>
      </c>
      <c r="F5" t="n">
        <v>44.53740692601934</v>
      </c>
    </row>
    <row r="6">
      <c r="A6" t="inlineStr">
        <is>
          <t>+30%</t>
        </is>
      </c>
      <c r="B6" t="n">
        <v>33.06467928068555</v>
      </c>
      <c r="C6" t="n">
        <v>36.17575722111387</v>
      </c>
      <c r="D6" t="n">
        <v>39.28683516154218</v>
      </c>
      <c r="E6" t="n">
        <v>42.39791310197049</v>
      </c>
      <c r="F6" t="n">
        <v>45.5089910423988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38.13</v>
      </c>
    </row>
    <row r="3">
      <c r="A3" t="n">
        <v>0.95</v>
      </c>
      <c r="B3" t="n">
        <v>39.31</v>
      </c>
    </row>
    <row r="4">
      <c r="A4" t="n">
        <v>1</v>
      </c>
      <c r="B4" t="n">
        <v>39.7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