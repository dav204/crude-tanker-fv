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61.20482670023672</v>
      </c>
    </row>
    <row r="5">
      <c r="A5" s="1" t="inlineStr">
        <is>
          <t>Model fair value</t>
        </is>
      </c>
      <c r="B5" t="n">
        <v>39.75850279712702</v>
      </c>
    </row>
    <row r="6">
      <c r="A6" s="1" t="inlineStr">
        <is>
          <t>Analyst target (crude-allocated)</t>
        </is>
      </c>
      <c r="B6" t="n">
        <v>52.65429848142863</v>
      </c>
    </row>
    <row r="7">
      <c r="A7" s="1" t="inlineStr">
        <is>
          <t>NAV / share</t>
        </is>
      </c>
      <c r="B7" t="n">
        <v>36.25957636038456</v>
      </c>
    </row>
    <row r="8">
      <c r="A8" s="1" t="inlineStr">
        <is>
          <t>DivStrip implied price</t>
        </is>
      </c>
      <c r="B8" t="n">
        <v>47.92266448285943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2.361828051711729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380065.3318954653</v>
      </c>
    </row>
    <row r="16">
      <c r="A16" s="1" t="inlineStr">
        <is>
          <t>Breakeven multiplier (× forward)</t>
        </is>
      </c>
      <c r="B16" t="n">
        <v>3.402831478073339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707.0214507762394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249.5926342117098</v>
      </c>
    </row>
    <row r="7">
      <c r="A7" t="inlineStr">
        <is>
          <t>+ Working capital (net)</t>
        </is>
      </c>
      <c r="B7" t="n">
        <v>151.8371142285031</v>
      </c>
    </row>
    <row r="8">
      <c r="A8" t="inlineStr">
        <is>
          <t>- Total debt</t>
        </is>
      </c>
      <c r="B8" t="n">
        <v>-370.2762863311443</v>
      </c>
    </row>
    <row r="9">
      <c r="A9" t="inlineStr">
        <is>
          <t>- Lease liabilities</t>
        </is>
      </c>
      <c r="B9" t="n">
        <v>-5.325038487933159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1802.100945111113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36.25957636038456</v>
      </c>
    </row>
    <row r="15">
      <c r="A15" t="inlineStr">
        <is>
          <t>NAV / share (ex yard discount)</t>
        </is>
      </c>
      <c r="B15" t="n">
        <v>37.1492006395328</v>
      </c>
    </row>
    <row r="16">
      <c r="A16" t="inlineStr">
        <is>
          <t>Yard-discount impact / share</t>
        </is>
      </c>
      <c r="B16" t="n">
        <v>-0.8896242791482436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3.882451925293722</v>
      </c>
      <c r="E2" t="n">
        <v>2.837716347705605</v>
      </c>
      <c r="F2" t="n">
        <v>2.76463777273684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4.877843939378229</v>
      </c>
      <c r="E3" t="n">
        <v>3.53449075756476</v>
      </c>
      <c r="F3" t="n">
        <v>3.3547901634559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4.426105545012032</v>
      </c>
      <c r="E4" t="n">
        <v>3.218273881508422</v>
      </c>
      <c r="F4" t="n">
        <v>2.975985196569214</v>
      </c>
    </row>
    <row r="5">
      <c r="A5" t="inlineStr">
        <is>
          <t>Q4</t>
        </is>
      </c>
      <c r="B5" t="n">
        <v>67500</v>
      </c>
      <c r="C5" t="n">
        <v>67500</v>
      </c>
      <c r="D5" t="n">
        <v>3.139470520364144</v>
      </c>
      <c r="E5" t="n">
        <v>2.317629364254901</v>
      </c>
      <c r="F5" t="n">
        <v>2.087954382211622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2.761834323181046</v>
      </c>
      <c r="E6" t="n">
        <v>2.053284026226732</v>
      </c>
      <c r="F6" t="n">
        <v>1.802168129120251</v>
      </c>
    </row>
    <row r="7">
      <c r="A7" t="inlineStr">
        <is>
          <t>Q6</t>
        </is>
      </c>
      <c r="B7" t="n">
        <v>78000</v>
      </c>
      <c r="C7" t="n">
        <v>78000</v>
      </c>
      <c r="D7" t="n">
        <v>3.597443474589496</v>
      </c>
      <c r="E7" t="n">
        <v>2.638210432212647</v>
      </c>
      <c r="F7" t="n">
        <v>2.255926600191252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3.871585978110623</v>
      </c>
      <c r="E8" t="n">
        <v>2.830110184677436</v>
      </c>
      <c r="F8" t="n">
        <v>2.357697762630256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2.573372485152877</v>
      </c>
      <c r="E9" t="n">
        <v>1.921360739607013</v>
      </c>
      <c r="F9" t="n">
        <v>1.559419478619441</v>
      </c>
    </row>
    <row r="10">
      <c r="A10" t="inlineStr">
        <is>
          <t>Sum disc. DPS</t>
        </is>
      </c>
      <c r="F10" t="n">
        <v>19.15857948553477</v>
      </c>
    </row>
    <row r="11">
      <c r="A11" t="inlineStr">
        <is>
          <t>Terminal value (q9)</t>
        </is>
      </c>
      <c r="E11" t="n">
        <v>36.37703229941216</v>
      </c>
      <c r="F11" t="n">
        <v>28.76408499732466</v>
      </c>
    </row>
    <row r="12">
      <c r="A12" t="inlineStr">
        <is>
          <t>DivStrip implied price</t>
        </is>
      </c>
      <c r="F12" t="n">
        <v>47.92266448285943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30.74515997262496</v>
      </c>
      <c r="C2" t="n">
        <v>33.91301565234452</v>
      </c>
      <c r="D2" t="n">
        <v>37.08087133206406</v>
      </c>
      <c r="E2" t="n">
        <v>40.24872701178361</v>
      </c>
      <c r="F2" t="n">
        <v>43.41658269150317</v>
      </c>
    </row>
    <row r="3">
      <c r="A3" t="inlineStr">
        <is>
          <t>-15%</t>
        </is>
      </c>
      <c r="B3" t="n">
        <v>32.08397570515645</v>
      </c>
      <c r="C3" t="n">
        <v>35.251831384876</v>
      </c>
      <c r="D3" t="n">
        <v>38.41968706459554</v>
      </c>
      <c r="E3" t="n">
        <v>41.58754274431509</v>
      </c>
      <c r="F3" t="n">
        <v>44.75539842403465</v>
      </c>
    </row>
    <row r="4">
      <c r="A4" t="inlineStr">
        <is>
          <t>+0%</t>
        </is>
      </c>
      <c r="B4" t="n">
        <v>33.42279143768792</v>
      </c>
      <c r="C4" t="n">
        <v>36.59064711740748</v>
      </c>
      <c r="D4" t="n">
        <v>39.75850279712702</v>
      </c>
      <c r="E4" t="n">
        <v>42.92635847684657</v>
      </c>
      <c r="F4" t="n">
        <v>46.09421415656612</v>
      </c>
    </row>
    <row r="5">
      <c r="A5" t="inlineStr">
        <is>
          <t>+15%</t>
        </is>
      </c>
      <c r="B5" t="n">
        <v>34.76160717021941</v>
      </c>
      <c r="C5" t="n">
        <v>37.92946284993896</v>
      </c>
      <c r="D5" t="n">
        <v>41.09731852965849</v>
      </c>
      <c r="E5" t="n">
        <v>44.26517420937806</v>
      </c>
      <c r="F5" t="n">
        <v>47.4330298890976</v>
      </c>
    </row>
    <row r="6">
      <c r="A6" t="inlineStr">
        <is>
          <t>+30%</t>
        </is>
      </c>
      <c r="B6" t="n">
        <v>36.10042290275089</v>
      </c>
      <c r="C6" t="n">
        <v>39.26827858247044</v>
      </c>
      <c r="D6" t="n">
        <v>42.43613426218998</v>
      </c>
      <c r="E6" t="n">
        <v>45.60398994190953</v>
      </c>
      <c r="F6" t="n">
        <v>48.77184562162908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39.85</v>
      </c>
    </row>
    <row r="3">
      <c r="A3" t="n">
        <v>0.95</v>
      </c>
      <c r="B3" t="n">
        <v>39.99</v>
      </c>
    </row>
    <row r="4">
      <c r="A4" t="n">
        <v>1</v>
      </c>
      <c r="B4" t="n">
        <v>40.04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