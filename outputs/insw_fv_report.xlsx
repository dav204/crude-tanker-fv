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AV" sheetId="2" state="visible" r:id="rId2"/>
    <sheet name="DivStrip" sheetId="3" state="visible" r:id="rId3"/>
    <sheet name="Sensitivity" sheetId="4" state="visible" r:id="rId4"/>
    <sheet name="Payout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s="1" t="inlineStr">
        <is>
          <t>Ticker</t>
        </is>
      </c>
      <c r="B1" t="inlineStr">
        <is>
          <t>INSW</t>
        </is>
      </c>
    </row>
    <row r="2">
      <c r="A2" s="1" t="inlineStr">
        <is>
          <t>Valuation basis</t>
        </is>
      </c>
      <c r="B2" t="inlineStr">
        <is>
          <t>CRUDE SLEEVE (allocated price)</t>
        </is>
      </c>
    </row>
    <row r="3">
      <c r="A3" s="1" t="inlineStr">
        <is>
          <t>Report date</t>
        </is>
      </c>
      <c r="B3" t="inlineStr">
        <is>
          <t>2026-Q1</t>
        </is>
      </c>
    </row>
    <row r="4">
      <c r="A4" s="1" t="inlineStr">
        <is>
          <t>Current price (crude-allocated)</t>
        </is>
      </c>
      <c r="B4" t="n">
        <v>55.1691215792289</v>
      </c>
    </row>
    <row r="5">
      <c r="A5" s="1" t="inlineStr">
        <is>
          <t>Model fair value</t>
        </is>
      </c>
      <c r="B5" t="n">
        <v>37.31376832138561</v>
      </c>
    </row>
    <row r="6">
      <c r="A6" s="1" t="inlineStr">
        <is>
          <t>Analyst target (crude-allocated)</t>
        </is>
      </c>
      <c r="B6" t="n">
        <v>51.91081980765414</v>
      </c>
    </row>
    <row r="7">
      <c r="A7" s="1" t="inlineStr">
        <is>
          <t>NAV / share</t>
        </is>
      </c>
      <c r="B7" t="n">
        <v>34.77481233396326</v>
      </c>
    </row>
    <row r="8">
      <c r="A8" s="1" t="inlineStr">
        <is>
          <t>DivStrip implied price</t>
        </is>
      </c>
      <c r="B8" t="n">
        <v>43.23799895870444</v>
      </c>
    </row>
    <row r="9">
      <c r="A9" s="1" t="inlineStr">
        <is>
          <t>12M TC cycle input Suezmax ($/day)</t>
        </is>
      </c>
      <c r="B9" t="n">
        <v>61250</v>
      </c>
    </row>
    <row r="10">
      <c r="A10" s="1" t="inlineStr">
        <is>
          <t>12M FFA strip Suezmax ($/day)</t>
        </is>
      </c>
      <c r="B10" t="n">
        <v>85000</v>
      </c>
    </row>
    <row r="11">
      <c r="A11" s="1" t="inlineStr">
        <is>
          <t>Cycle position</t>
        </is>
      </c>
      <c r="B11" t="n">
        <v>2.400432119778173</v>
      </c>
    </row>
    <row r="12">
      <c r="A12" s="1" t="inlineStr">
        <is>
          <t>Cycle band</t>
        </is>
      </c>
      <c r="B12" t="inlineStr">
        <is>
          <t>late-cycle/peak</t>
        </is>
      </c>
    </row>
    <row r="13">
      <c r="A13" s="1" t="inlineStr">
        <is>
          <t>w_nav</t>
        </is>
      </c>
      <c r="B13" t="n">
        <v>0.7</v>
      </c>
    </row>
    <row r="14">
      <c r="A14" s="1" t="inlineStr">
        <is>
          <t>w_earn</t>
        </is>
      </c>
      <c r="B14" t="n">
        <v>0.3</v>
      </c>
    </row>
    <row r="15">
      <c r="A15" s="1" t="inlineStr">
        <is>
          <t>Implied breakeven blended ($/day)</t>
        </is>
      </c>
      <c r="B15" t="n">
        <v>414323.0336069782</v>
      </c>
    </row>
    <row r="16">
      <c r="A16" s="1" t="inlineStr">
        <is>
          <t>Breakeven multiplier (× forward)</t>
        </is>
      </c>
      <c r="B16" t="n">
        <v>3.756635214104755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</cols>
  <sheetData>
    <row r="1">
      <c r="A1" s="1" t="inlineStr">
        <is>
          <t>Item</t>
        </is>
      </c>
      <c r="B1" s="1" t="inlineStr">
        <is>
          <t>$M</t>
        </is>
      </c>
    </row>
    <row r="2">
      <c r="A2" t="inlineStr">
        <is>
          <t>Fleet value — VLCC</t>
        </is>
      </c>
      <c r="B2" t="n">
        <v>644.968679037019</v>
      </c>
    </row>
    <row r="3">
      <c r="A3" t="inlineStr">
        <is>
          <t>Fleet value — Suezmax</t>
        </is>
      </c>
      <c r="B3" t="n">
        <v>789.3366637191217</v>
      </c>
    </row>
    <row r="4">
      <c r="A4" t="inlineStr">
        <is>
          <t>Fleet value — Aframax</t>
        </is>
      </c>
      <c r="B4" t="n">
        <v>182.1631039520335</v>
      </c>
    </row>
    <row r="5">
      <c r="A5" t="inlineStr">
        <is>
          <t>Fleet value — LR1</t>
        </is>
      </c>
      <c r="B5" t="n">
        <v>86.376</v>
      </c>
    </row>
    <row r="6">
      <c r="A6" t="inlineStr">
        <is>
          <t>+ Cash &amp; equivalents</t>
        </is>
      </c>
      <c r="B6" t="n">
        <v>246.0683863151577</v>
      </c>
    </row>
    <row r="7">
      <c r="A7" t="inlineStr">
        <is>
          <t>+ Working capital (net)</t>
        </is>
      </c>
      <c r="B7" t="n">
        <v>149.6931742355285</v>
      </c>
    </row>
    <row r="8">
      <c r="A8" t="inlineStr">
        <is>
          <t>- Total debt</t>
        </is>
      </c>
      <c r="B8" t="n">
        <v>-365.047985314301</v>
      </c>
    </row>
    <row r="9">
      <c r="A9" t="inlineStr">
        <is>
          <t>- Lease liabilities</t>
        </is>
      </c>
      <c r="B9" t="n">
        <v>-5.249848946585399</v>
      </c>
    </row>
    <row r="10">
      <c r="A10" t="inlineStr">
        <is>
          <t>- Newbuild commitments</t>
        </is>
      </c>
      <c r="B10" t="n">
        <v>-0</v>
      </c>
    </row>
    <row r="11">
      <c r="A11" t="inlineStr">
        <is>
          <t>+ Newbuild advances</t>
        </is>
      </c>
      <c r="B11" t="n">
        <v>0</v>
      </c>
    </row>
    <row r="12">
      <c r="A12">
        <f> NAV total</f>
        <v/>
      </c>
      <c r="B12" t="n">
        <v>1728.308172997974</v>
      </c>
    </row>
    <row r="13">
      <c r="A13" t="inlineStr">
        <is>
          <t>Diluted shares</t>
        </is>
      </c>
      <c r="B13" t="n">
        <v>49700000</v>
      </c>
    </row>
    <row r="14">
      <c r="A14" t="inlineStr">
        <is>
          <t>NAV / share</t>
        </is>
      </c>
      <c r="B14" t="n">
        <v>34.77481233396326</v>
      </c>
    </row>
    <row r="15">
      <c r="A15" t="inlineStr">
        <is>
          <t>NAV / share (ex yard discount)</t>
        </is>
      </c>
      <c r="B15" t="n">
        <v>35.60653865806835</v>
      </c>
    </row>
    <row r="16">
      <c r="A16" t="inlineStr">
        <is>
          <t>Yard-discount impact / share</t>
        </is>
      </c>
      <c r="B16" t="n">
        <v>-0.8317263241050838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1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Quarter</t>
        </is>
      </c>
      <c r="B1" s="1" t="inlineStr">
        <is>
          <t>FFA spot Suezmax ($/day)</t>
        </is>
      </c>
      <c r="C1" s="1" t="inlineStr">
        <is>
          <t>Blended TCE ($/day)</t>
        </is>
      </c>
      <c r="D1" s="1" t="inlineStr">
        <is>
          <t>EPS</t>
        </is>
      </c>
      <c r="E1" s="1" t="inlineStr">
        <is>
          <t>DPS</t>
        </is>
      </c>
      <c r="F1" s="1" t="inlineStr">
        <is>
          <t>Disc. DPS</t>
        </is>
      </c>
    </row>
    <row r="2">
      <c r="A2" t="inlineStr">
        <is>
          <t>Q1</t>
        </is>
      </c>
      <c r="B2" t="n">
        <v>81500</v>
      </c>
      <c r="C2" t="n">
        <v>81500</v>
      </c>
      <c r="D2" t="n">
        <v>3.885851644600359</v>
      </c>
      <c r="E2" t="n">
        <v>2.840096151220251</v>
      </c>
      <c r="F2" t="n">
        <v>2.766956290122695</v>
      </c>
    </row>
    <row r="3">
      <c r="A3" t="inlineStr">
        <is>
          <t>Q2</t>
        </is>
      </c>
      <c r="B3" t="n">
        <v>99000</v>
      </c>
      <c r="C3" t="n">
        <v>99000</v>
      </c>
      <c r="D3" t="n">
        <v>4.881243658684866</v>
      </c>
      <c r="E3" t="n">
        <v>3.536870561079406</v>
      </c>
      <c r="F3" t="n">
        <v>3.357048972990146</v>
      </c>
    </row>
    <row r="4">
      <c r="A4" t="inlineStr">
        <is>
          <t>Q3</t>
        </is>
      </c>
      <c r="B4" t="n">
        <v>92000</v>
      </c>
      <c r="C4" t="n">
        <v>92000</v>
      </c>
      <c r="D4" t="n">
        <v>4.429505264318669</v>
      </c>
      <c r="E4" t="n">
        <v>3.220653685023068</v>
      </c>
      <c r="F4" t="n">
        <v>2.97818583588429</v>
      </c>
    </row>
    <row r="5">
      <c r="A5" t="inlineStr">
        <is>
          <t>Q4</t>
        </is>
      </c>
      <c r="B5" t="n">
        <v>67500</v>
      </c>
      <c r="C5" t="n">
        <v>67500</v>
      </c>
      <c r="D5" t="n">
        <v>3.142870239670782</v>
      </c>
      <c r="E5" t="n">
        <v>2.320009167769547</v>
      </c>
      <c r="F5" t="n">
        <v>2.090098349341934</v>
      </c>
    </row>
    <row r="6">
      <c r="A6" t="inlineStr">
        <is>
          <t>Q5</t>
        </is>
      </c>
      <c r="B6" t="n">
        <v>60000</v>
      </c>
      <c r="C6" t="n">
        <v>60000</v>
      </c>
      <c r="D6" t="n">
        <v>2.765234042487683</v>
      </c>
      <c r="E6" t="n">
        <v>2.055663829741378</v>
      </c>
      <c r="F6" t="n">
        <v>1.804256883521922</v>
      </c>
    </row>
    <row r="7">
      <c r="A7" t="inlineStr">
        <is>
          <t>Q6</t>
        </is>
      </c>
      <c r="B7" t="n">
        <v>78000</v>
      </c>
      <c r="C7" t="n">
        <v>78000</v>
      </c>
      <c r="D7" t="n">
        <v>3.600843193896134</v>
      </c>
      <c r="E7" t="n">
        <v>2.640590235727294</v>
      </c>
      <c r="F7" t="n">
        <v>2.257961563735619</v>
      </c>
    </row>
    <row r="8">
      <c r="A8" t="inlineStr">
        <is>
          <t>Q7</t>
        </is>
      </c>
      <c r="B8" t="n">
        <v>81500</v>
      </c>
      <c r="C8" t="n">
        <v>81500</v>
      </c>
      <c r="D8" t="n">
        <v>3.874985697417261</v>
      </c>
      <c r="E8" t="n">
        <v>2.832489988192082</v>
      </c>
      <c r="F8" t="n">
        <v>2.359680320571766</v>
      </c>
    </row>
    <row r="9">
      <c r="A9" t="inlineStr">
        <is>
          <t>Q8</t>
        </is>
      </c>
      <c r="B9" t="n">
        <v>56500</v>
      </c>
      <c r="C9" t="n">
        <v>56500</v>
      </c>
      <c r="D9" t="n">
        <v>2.576772204459514</v>
      </c>
      <c r="E9" t="n">
        <v>1.92374054312166</v>
      </c>
      <c r="F9" t="n">
        <v>1.561350980538641</v>
      </c>
    </row>
    <row r="10">
      <c r="A10" t="inlineStr">
        <is>
          <t>Sum disc. DPS</t>
        </is>
      </c>
      <c r="F10" t="n">
        <v>19.17553919670701</v>
      </c>
    </row>
    <row r="11">
      <c r="A11" t="inlineStr">
        <is>
          <t>Terminal value (q9)</t>
        </is>
      </c>
      <c r="E11" t="n">
        <v>30.43103495372438</v>
      </c>
      <c r="F11" t="n">
        <v>24.06245976199742</v>
      </c>
    </row>
    <row r="12">
      <c r="A12" t="inlineStr">
        <is>
          <t>DivStrip implied price</t>
        </is>
      </c>
      <c r="F12" t="n">
        <v>43.23799895870444</v>
      </c>
    </row>
    <row r="13">
      <c r="A13" t="inlineStr">
        <is>
          <t>12M FFA strip (front 4q)</t>
        </is>
      </c>
      <c r="B13" t="n">
        <v>85000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TCE \ Vessel</t>
        </is>
      </c>
      <c r="B1" s="1" t="inlineStr">
        <is>
          <t>-20%</t>
        </is>
      </c>
      <c r="C1" s="1" t="inlineStr">
        <is>
          <t>-10%</t>
        </is>
      </c>
      <c r="D1" s="1" t="inlineStr">
        <is>
          <t>+0%</t>
        </is>
      </c>
      <c r="E1" s="1" t="inlineStr">
        <is>
          <t>+10%</t>
        </is>
      </c>
      <c r="F1" s="1" t="inlineStr">
        <is>
          <t>+20%</t>
        </is>
      </c>
    </row>
    <row r="2">
      <c r="A2" t="inlineStr">
        <is>
          <t>-30%</t>
        </is>
      </c>
      <c r="B2" t="n">
        <v>29.15441507265919</v>
      </c>
      <c r="C2" t="n">
        <v>32.26250758064293</v>
      </c>
      <c r="D2" t="n">
        <v>35.37060008862668</v>
      </c>
      <c r="E2" t="n">
        <v>38.47869259661043</v>
      </c>
      <c r="F2" t="n">
        <v>41.58678510459416</v>
      </c>
    </row>
    <row r="3">
      <c r="A3" t="inlineStr">
        <is>
          <t>-15%</t>
        </is>
      </c>
      <c r="B3" t="n">
        <v>30.12599918903866</v>
      </c>
      <c r="C3" t="n">
        <v>33.2340916970224</v>
      </c>
      <c r="D3" t="n">
        <v>36.34218420500615</v>
      </c>
      <c r="E3" t="n">
        <v>39.4502767129899</v>
      </c>
      <c r="F3" t="n">
        <v>42.55836922097363</v>
      </c>
    </row>
    <row r="4">
      <c r="A4" t="inlineStr">
        <is>
          <t>+0%</t>
        </is>
      </c>
      <c r="B4" t="n">
        <v>31.09758330541812</v>
      </c>
      <c r="C4" t="n">
        <v>34.20567581340187</v>
      </c>
      <c r="D4" t="n">
        <v>37.31376832138561</v>
      </c>
      <c r="E4" t="n">
        <v>40.42186082936936</v>
      </c>
      <c r="F4" t="n">
        <v>43.5299533373531</v>
      </c>
    </row>
    <row r="5">
      <c r="A5" t="inlineStr">
        <is>
          <t>+15%</t>
        </is>
      </c>
      <c r="B5" t="n">
        <v>32.06916742179759</v>
      </c>
      <c r="C5" t="n">
        <v>35.17725992978134</v>
      </c>
      <c r="D5" t="n">
        <v>38.28535243776508</v>
      </c>
      <c r="E5" t="n">
        <v>41.39344494574883</v>
      </c>
      <c r="F5" t="n">
        <v>44.50153745373257</v>
      </c>
    </row>
    <row r="6">
      <c r="A6" t="inlineStr">
        <is>
          <t>+30%</t>
        </is>
      </c>
      <c r="B6" t="n">
        <v>33.04075153817706</v>
      </c>
      <c r="C6" t="n">
        <v>36.1488440461608</v>
      </c>
      <c r="D6" t="n">
        <v>39.25693655414454</v>
      </c>
      <c r="E6" t="n">
        <v>42.3650290621283</v>
      </c>
      <c r="F6" t="n">
        <v>45.47312157011203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Dividend payout</t>
        </is>
      </c>
      <c r="B1" s="1" t="inlineStr">
        <is>
          <t>Fair value</t>
        </is>
      </c>
    </row>
    <row r="2">
      <c r="A2" t="n">
        <v>0.8</v>
      </c>
      <c r="B2" t="n">
        <v>38.1</v>
      </c>
    </row>
    <row r="3">
      <c r="A3" t="n">
        <v>0.95</v>
      </c>
      <c r="B3" t="n">
        <v>39.28</v>
      </c>
    </row>
    <row r="4">
      <c r="A4" t="n">
        <v>1</v>
      </c>
      <c r="B4" t="n">
        <v>39.67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Data validation warnings</t>
        </is>
      </c>
    </row>
    <row r="2">
      <c r="A2" t="inlineStr">
        <is>
          <t>spot TCE VLCC: $388,300/day is 9.7x the 10-yr mean ($40,000) — unsustainable as a level. Confirm it is a genuine cycle spike (not a unit/source error) and do not anchor valuation to it.</t>
        </is>
      </c>
    </row>
    <row r="3">
      <c r="A3" t="inlineStr">
        <is>
          <t>Aframax FFA forward curve is CONSTRUCTED (no market anchor) — built from the 12M TC + spot, not a Baltic / $MT / Worldscale series. Treat its dividend-strip contribution as indicative.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2026-06-22T16:04:26Z</dcterms:created>
  <dcterms:modified xsi:type="dcterms:W3CDTF">2026-06-22T16:04:26Z</dcterms:modified>
</cp:coreProperties>
</file>