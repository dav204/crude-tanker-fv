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32" customWidth="1" min="2" max="2"/>
  </cols>
  <sheetData>
    <row r="1">
      <c r="A1" s="1" t="inlineStr">
        <is>
          <t>Ticker</t>
        </is>
      </c>
      <c r="B1" t="inlineStr">
        <is>
          <t>INSW</t>
        </is>
      </c>
    </row>
    <row r="2">
      <c r="A2" s="1" t="inlineStr">
        <is>
          <t>Valuation basis</t>
        </is>
      </c>
      <c r="B2" t="inlineStr">
        <is>
          <t>CRUDE SLEEVE (allocated price)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 (crude-allocated)</t>
        </is>
      </c>
      <c r="B4" t="n">
        <v>52.02077332262321</v>
      </c>
    </row>
    <row r="5">
      <c r="A5" s="1" t="inlineStr">
        <is>
          <t>Model fair value</t>
        </is>
      </c>
      <c r="B5" t="n">
        <v>38.62793598283244</v>
      </c>
    </row>
    <row r="6">
      <c r="A6" s="1" t="inlineStr">
        <is>
          <t>Analyst target (crude-allocated)</t>
        </is>
      </c>
      <c r="B6" t="n">
        <v>52.01423065210093</v>
      </c>
    </row>
    <row r="7">
      <c r="A7" s="1" t="inlineStr">
        <is>
          <t>NAV / share</t>
        </is>
      </c>
      <c r="B7" t="n">
        <v>34.97325064431904</v>
      </c>
    </row>
    <row r="8">
      <c r="A8" s="1" t="inlineStr">
        <is>
          <t>DivStrip implied price</t>
        </is>
      </c>
      <c r="B8" t="n">
        <v>47.15553510603037</v>
      </c>
    </row>
    <row r="9">
      <c r="A9" s="1" t="inlineStr">
        <is>
          <t>12M TC cycle input Suezmax ($/day)</t>
        </is>
      </c>
      <c r="B9" t="n">
        <v>61250</v>
      </c>
    </row>
    <row r="10">
      <c r="A10" s="1" t="inlineStr">
        <is>
          <t>12M FFA strip Suezmax ($/day)</t>
        </is>
      </c>
      <c r="B10" t="n">
        <v>85000</v>
      </c>
    </row>
    <row r="11">
      <c r="A11" s="1" t="inlineStr">
        <is>
          <t>Cycle position</t>
        </is>
      </c>
      <c r="B11" t="n">
        <v>2.349869181366118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276425.7860906069</v>
      </c>
    </row>
    <row r="16">
      <c r="A16" s="1" t="inlineStr">
        <is>
          <t>Breakeven multiplier (× forward)</t>
        </is>
      </c>
      <c r="B16" t="n">
        <v>2.500524345624524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2" customWidth="1" min="1" max="1"/>
    <col width="21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654.780337115778</v>
      </c>
    </row>
    <row r="3">
      <c r="A3" t="inlineStr">
        <is>
          <t>Fleet value — Suezmax</t>
        </is>
      </c>
      <c r="B3" t="n">
        <v>789.3366637191217</v>
      </c>
    </row>
    <row r="4">
      <c r="A4" t="inlineStr">
        <is>
          <t>Fleet value — Aframax</t>
        </is>
      </c>
      <c r="B4" t="n">
        <v>182.1631039520335</v>
      </c>
    </row>
    <row r="5">
      <c r="A5" t="inlineStr">
        <is>
          <t>Fleet value — LR1</t>
        </is>
      </c>
      <c r="B5" t="n">
        <v>86.376</v>
      </c>
    </row>
    <row r="6">
      <c r="A6" t="inlineStr">
        <is>
          <t>+ Cash &amp; equivalents</t>
        </is>
      </c>
      <c r="B6" t="n">
        <v>246.5585758308463</v>
      </c>
    </row>
    <row r="7">
      <c r="A7" t="inlineStr">
        <is>
          <t>+ Working capital (net)</t>
        </is>
      </c>
      <c r="B7" t="n">
        <v>149.9913759902489</v>
      </c>
    </row>
    <row r="8">
      <c r="A8" t="inlineStr">
        <is>
          <t>- Total debt</t>
        </is>
      </c>
      <c r="B8" t="n">
        <v>-365.7751924854616</v>
      </c>
    </row>
    <row r="9">
      <c r="A9" t="inlineStr">
        <is>
          <t>- Lease liabilities</t>
        </is>
      </c>
      <c r="B9" t="n">
        <v>-5.260307099910584</v>
      </c>
    </row>
    <row r="10">
      <c r="A10" t="inlineStr">
        <is>
          <t>- Newbuild commitments</t>
        </is>
      </c>
      <c r="B10" t="n">
        <v>-0</v>
      </c>
    </row>
    <row r="11">
      <c r="A11" t="inlineStr">
        <is>
          <t>+ Newbuild advances</t>
        </is>
      </c>
      <c r="B11" t="n">
        <v>0</v>
      </c>
    </row>
    <row r="12">
      <c r="A12">
        <f> NAV total</f>
        <v/>
      </c>
      <c r="B12" t="n">
        <v>1738.170557022656</v>
      </c>
    </row>
    <row r="13">
      <c r="A13" t="inlineStr">
        <is>
          <t>Diluted shares</t>
        </is>
      </c>
      <c r="B13" t="n">
        <v>49700000</v>
      </c>
    </row>
    <row r="14">
      <c r="A14" t="inlineStr">
        <is>
          <t>NAV / share</t>
        </is>
      </c>
      <c r="B14" t="n">
        <v>34.97325064431904</v>
      </c>
    </row>
    <row r="15">
      <c r="A15" t="inlineStr">
        <is>
          <t>NAV / share (ex yard discount)</t>
        </is>
      </c>
      <c r="B15" t="n">
        <v>35.81455261470462</v>
      </c>
    </row>
    <row r="16">
      <c r="A16" t="inlineStr">
        <is>
          <t>Yard-discount impact / share</t>
        </is>
      </c>
      <c r="B16" t="n">
        <v>-0.8413019703855866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Suezmax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81500</v>
      </c>
      <c r="C2" t="n">
        <v>81500</v>
      </c>
      <c r="D2" t="n">
        <v>3.885378775832521</v>
      </c>
      <c r="E2" t="n">
        <v>2.839765143082765</v>
      </c>
      <c r="F2" t="n">
        <v>2.766633806305482</v>
      </c>
    </row>
    <row r="3">
      <c r="A3" t="inlineStr">
        <is>
          <t>Q2</t>
        </is>
      </c>
      <c r="B3" t="n">
        <v>99000</v>
      </c>
      <c r="C3" t="n">
        <v>99000</v>
      </c>
      <c r="D3" t="n">
        <v>4.880770789917028</v>
      </c>
      <c r="E3" t="n">
        <v>3.536539552941919</v>
      </c>
      <c r="F3" t="n">
        <v>3.356734793969791</v>
      </c>
    </row>
    <row r="4">
      <c r="A4" t="inlineStr">
        <is>
          <t>Q3</t>
        </is>
      </c>
      <c r="B4" t="n">
        <v>92000</v>
      </c>
      <c r="C4" t="n">
        <v>92000</v>
      </c>
      <c r="D4" t="n">
        <v>4.429032395550832</v>
      </c>
      <c r="E4" t="n">
        <v>3.220322676885582</v>
      </c>
      <c r="F4" t="n">
        <v>2.977879747790682</v>
      </c>
    </row>
    <row r="5">
      <c r="A5" t="inlineStr">
        <is>
          <t>Q4</t>
        </is>
      </c>
      <c r="B5" t="n">
        <v>67500</v>
      </c>
      <c r="C5" t="n">
        <v>67500</v>
      </c>
      <c r="D5" t="n">
        <v>3.142397370902944</v>
      </c>
      <c r="E5" t="n">
        <v>2.319678159632061</v>
      </c>
      <c r="F5" t="n">
        <v>2.089800143812667</v>
      </c>
    </row>
    <row r="6">
      <c r="A6" t="inlineStr">
        <is>
          <t>Q5</t>
        </is>
      </c>
      <c r="B6" t="n">
        <v>60000</v>
      </c>
      <c r="C6" t="n">
        <v>60000</v>
      </c>
      <c r="D6" t="n">
        <v>2.764761173719845</v>
      </c>
      <c r="E6" t="n">
        <v>2.055332821603892</v>
      </c>
      <c r="F6" t="n">
        <v>1.803966357560469</v>
      </c>
    </row>
    <row r="7">
      <c r="A7" t="inlineStr">
        <is>
          <t>Q6</t>
        </is>
      </c>
      <c r="B7" t="n">
        <v>78000</v>
      </c>
      <c r="C7" t="n">
        <v>78000</v>
      </c>
      <c r="D7" t="n">
        <v>3.600370325128296</v>
      </c>
      <c r="E7" t="n">
        <v>2.640259227589807</v>
      </c>
      <c r="F7" t="n">
        <v>2.257678519573137</v>
      </c>
    </row>
    <row r="8">
      <c r="A8" t="inlineStr">
        <is>
          <t>Q7</t>
        </is>
      </c>
      <c r="B8" t="n">
        <v>81500</v>
      </c>
      <c r="C8" t="n">
        <v>81500</v>
      </c>
      <c r="D8" t="n">
        <v>3.874512828649423</v>
      </c>
      <c r="E8" t="n">
        <v>2.832158980054596</v>
      </c>
      <c r="F8" t="n">
        <v>2.359404565532478</v>
      </c>
    </row>
    <row r="9">
      <c r="A9" t="inlineStr">
        <is>
          <t>Q8</t>
        </is>
      </c>
      <c r="B9" t="n">
        <v>56500</v>
      </c>
      <c r="C9" t="n">
        <v>56500</v>
      </c>
      <c r="D9" t="n">
        <v>2.576299335691676</v>
      </c>
      <c r="E9" t="n">
        <v>1.923409534984173</v>
      </c>
      <c r="F9" t="n">
        <v>1.561082326908671</v>
      </c>
    </row>
    <row r="10">
      <c r="A10" t="inlineStr">
        <is>
          <t>Sum disc. DPS</t>
        </is>
      </c>
      <c r="F10" t="n">
        <v>19.17318026145338</v>
      </c>
    </row>
    <row r="11">
      <c r="A11" t="inlineStr">
        <is>
          <t>Terminal value (q9)</t>
        </is>
      </c>
      <c r="E11" t="n">
        <v>35.38840279777597</v>
      </c>
      <c r="F11" t="n">
        <v>27.982354844577</v>
      </c>
    </row>
    <row r="12">
      <c r="A12" t="inlineStr">
        <is>
          <t>DivStrip implied price</t>
        </is>
      </c>
      <c r="F12" t="n">
        <v>47.15553510603037</v>
      </c>
    </row>
    <row r="13">
      <c r="A13" t="inlineStr">
        <is>
          <t>12M FFA strip (front 4q)</t>
        </is>
      </c>
      <c r="B13" t="n">
        <v>85000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29.84073168889289</v>
      </c>
      <c r="C2" t="n">
        <v>32.89551810333118</v>
      </c>
      <c r="D2" t="n">
        <v>35.95030451776948</v>
      </c>
      <c r="E2" t="n">
        <v>39.00509093220777</v>
      </c>
      <c r="F2" t="n">
        <v>42.05987734664605</v>
      </c>
    </row>
    <row r="3">
      <c r="A3" t="inlineStr">
        <is>
          <t>-15%</t>
        </is>
      </c>
      <c r="B3" t="n">
        <v>31.17954742142437</v>
      </c>
      <c r="C3" t="n">
        <v>34.23433383586266</v>
      </c>
      <c r="D3" t="n">
        <v>37.28912025030095</v>
      </c>
      <c r="E3" t="n">
        <v>40.34390666473925</v>
      </c>
      <c r="F3" t="n">
        <v>43.39869307917753</v>
      </c>
    </row>
    <row r="4">
      <c r="A4" t="inlineStr">
        <is>
          <t>+0%</t>
        </is>
      </c>
      <c r="B4" t="n">
        <v>32.51836315395585</v>
      </c>
      <c r="C4" t="n">
        <v>35.57314956839414</v>
      </c>
      <c r="D4" t="n">
        <v>38.62793598283244</v>
      </c>
      <c r="E4" t="n">
        <v>41.68272239727074</v>
      </c>
      <c r="F4" t="n">
        <v>44.73750881170901</v>
      </c>
    </row>
    <row r="5">
      <c r="A5" t="inlineStr">
        <is>
          <t>+15%</t>
        </is>
      </c>
      <c r="B5" t="n">
        <v>33.85717888648733</v>
      </c>
      <c r="C5" t="n">
        <v>36.91196530092562</v>
      </c>
      <c r="D5" t="n">
        <v>39.96675171536391</v>
      </c>
      <c r="E5" t="n">
        <v>43.02153812980221</v>
      </c>
      <c r="F5" t="n">
        <v>46.07632454424049</v>
      </c>
    </row>
    <row r="6">
      <c r="A6" t="inlineStr">
        <is>
          <t>+30%</t>
        </is>
      </c>
      <c r="B6" t="n">
        <v>35.19599461901881</v>
      </c>
      <c r="C6" t="n">
        <v>38.2507810334571</v>
      </c>
      <c r="D6" t="n">
        <v>41.3055674478954</v>
      </c>
      <c r="E6" t="n">
        <v>44.3603538623337</v>
      </c>
      <c r="F6" t="n">
        <v>47.41514027677198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38.72</v>
      </c>
    </row>
    <row r="3">
      <c r="A3" t="n">
        <v>0.95</v>
      </c>
      <c r="B3" t="n">
        <v>38.86</v>
      </c>
    </row>
    <row r="4">
      <c r="A4" t="n">
        <v>1</v>
      </c>
      <c r="B4" t="n">
        <v>38.91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  <row r="3">
      <c r="A3" t="inlineStr">
        <is>
          <t>Aframax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2026-06-27T00:30:59Z</dcterms:created>
  <dcterms:modified xsi:type="dcterms:W3CDTF">2026-06-27T00:30:59Z</dcterms:modified>
</cp:coreProperties>
</file>