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HAFN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6.86</v>
      </c>
    </row>
    <row r="5">
      <c r="A5" s="1" t="inlineStr">
        <is>
          <t>Model fair value</t>
        </is>
      </c>
      <c r="B5" t="n">
        <v>5.662873577197971</v>
      </c>
    </row>
    <row r="6">
      <c r="A6" s="1" t="inlineStr">
        <is>
          <t>Analyst target</t>
        </is>
      </c>
      <c r="B6" t="n">
        <v>10</v>
      </c>
    </row>
    <row r="7">
      <c r="A7" s="1" t="inlineStr">
        <is>
          <t>NAV / share</t>
        </is>
      </c>
      <c r="B7" t="n">
        <v>5.217632495737237</v>
      </c>
    </row>
    <row r="8">
      <c r="A8" s="1" t="inlineStr">
        <is>
          <t>DivStrip implied price</t>
        </is>
      </c>
      <c r="B8" t="n">
        <v>6.701769433939684</v>
      </c>
    </row>
    <row r="9">
      <c r="A9" s="1" t="inlineStr">
        <is>
          <t>12M TC cycle input MR ($/day)</t>
        </is>
      </c>
      <c r="B9" t="n">
        <v>22000</v>
      </c>
    </row>
    <row r="10">
      <c r="A10" s="1" t="inlineStr">
        <is>
          <t>12M FFA strip MR ($/day)</t>
        </is>
      </c>
      <c r="B10" t="n">
        <v>24750</v>
      </c>
    </row>
    <row r="11">
      <c r="A11" s="1" t="inlineStr">
        <is>
          <t>Cycle position</t>
        </is>
      </c>
      <c r="B11" t="n">
        <v>1.658797002892988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83975.93122786956</v>
      </c>
    </row>
    <row r="16">
      <c r="A16" s="1" t="inlineStr">
        <is>
          <t>Breakeven multiplier (× forward)</t>
        </is>
      </c>
      <c r="B16" t="n">
        <v>1.778354603364224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577.2735499194329</v>
      </c>
    </row>
    <row r="3">
      <c r="A3" t="inlineStr">
        <is>
          <t>Fleet value — LR1</t>
        </is>
      </c>
      <c r="B3" t="n">
        <v>848.7733333333332</v>
      </c>
    </row>
    <row r="4">
      <c r="A4" t="inlineStr">
        <is>
          <t>Fleet value — MR</t>
        </is>
      </c>
      <c r="B4" t="n">
        <v>1585.936031282518</v>
      </c>
    </row>
    <row r="5">
      <c r="A5" t="inlineStr">
        <is>
          <t>Fleet value — Handysize</t>
        </is>
      </c>
      <c r="B5" t="n">
        <v>319.7333333333333</v>
      </c>
    </row>
    <row r="6">
      <c r="A6" t="inlineStr">
        <is>
          <t>+ Cash &amp; equivalents</t>
        </is>
      </c>
      <c r="B6" t="n">
        <v>146.5</v>
      </c>
    </row>
    <row r="7">
      <c r="A7" t="inlineStr">
        <is>
          <t>+ Working capital (net)</t>
        </is>
      </c>
      <c r="B7" t="n">
        <v>475</v>
      </c>
    </row>
    <row r="8">
      <c r="A8" t="inlineStr">
        <is>
          <t>- Total debt</t>
        </is>
      </c>
      <c r="B8" t="n">
        <v>-943.5</v>
      </c>
    </row>
    <row r="9">
      <c r="A9" t="inlineStr">
        <is>
          <t>- Lease liabilities</t>
        </is>
      </c>
      <c r="B9" t="n">
        <v>-35.9</v>
      </c>
    </row>
    <row r="10">
      <c r="A10" t="inlineStr">
        <is>
          <t>- Newbuild commitments</t>
        </is>
      </c>
      <c r="B10" t="n">
        <v>-405</v>
      </c>
    </row>
    <row r="11">
      <c r="A11" t="inlineStr">
        <is>
          <t>+ Newbuild advances</t>
        </is>
      </c>
      <c r="B11" t="n">
        <v>40</v>
      </c>
    </row>
    <row r="12">
      <c r="A12">
        <f> NAV total</f>
        <v/>
      </c>
      <c r="B12" t="n">
        <v>2608.816247868619</v>
      </c>
    </row>
    <row r="13">
      <c r="A13" t="inlineStr">
        <is>
          <t>Diluted shares</t>
        </is>
      </c>
      <c r="B13" t="n">
        <v>500000000</v>
      </c>
    </row>
    <row r="14">
      <c r="A14" t="inlineStr">
        <is>
          <t>NAV / share</t>
        </is>
      </c>
      <c r="B14" t="n">
        <v>5.217632495737237</v>
      </c>
    </row>
    <row r="15">
      <c r="A15" t="inlineStr">
        <is>
          <t>NAV / share (ex yard discount)</t>
        </is>
      </c>
      <c r="B15" t="n">
        <v>5.217632495737237</v>
      </c>
    </row>
    <row r="16">
      <c r="A16" t="inlineStr">
        <is>
          <t>Yard-discount impact / share</t>
        </is>
      </c>
      <c r="B16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22000</v>
      </c>
      <c r="C2" t="n">
        <v>22000</v>
      </c>
      <c r="D2" t="n">
        <v>0.5562755877875</v>
      </c>
      <c r="E2" t="n">
        <v>0.44502047023</v>
      </c>
      <c r="F2" t="n">
        <v>0.433560035918927</v>
      </c>
    </row>
    <row r="3">
      <c r="A3" t="inlineStr">
        <is>
          <t>Q2</t>
        </is>
      </c>
      <c r="B3" t="n">
        <v>30000</v>
      </c>
      <c r="C3" t="n">
        <v>30000</v>
      </c>
      <c r="D3" t="n">
        <v>0.7383243200375</v>
      </c>
      <c r="E3" t="n">
        <v>0.59065945603</v>
      </c>
      <c r="F3" t="n">
        <v>0.5606291454576962</v>
      </c>
    </row>
    <row r="4">
      <c r="A4" t="inlineStr">
        <is>
          <t>Q3</t>
        </is>
      </c>
      <c r="B4" t="n">
        <v>28000</v>
      </c>
      <c r="C4" t="n">
        <v>28000</v>
      </c>
      <c r="D4" t="n">
        <v>0.6756838960375</v>
      </c>
      <c r="E4" t="n">
        <v>0.54054711683</v>
      </c>
      <c r="F4" t="n">
        <v>0.4998518699658532</v>
      </c>
    </row>
    <row r="5">
      <c r="A5" t="inlineStr">
        <is>
          <t>Q4</t>
        </is>
      </c>
      <c r="B5" t="n">
        <v>19000</v>
      </c>
      <c r="C5" t="n">
        <v>19000</v>
      </c>
      <c r="D5" t="n">
        <v>0.4498580492875</v>
      </c>
      <c r="E5" t="n">
        <v>0.35988643943</v>
      </c>
      <c r="F5" t="n">
        <v>0.3242220175045045</v>
      </c>
    </row>
    <row r="6">
      <c r="A6" t="inlineStr">
        <is>
          <t>Q5</t>
        </is>
      </c>
      <c r="B6" t="n">
        <v>18000</v>
      </c>
      <c r="C6" t="n">
        <v>18000</v>
      </c>
      <c r="D6" t="n">
        <v>0.4060809347875</v>
      </c>
      <c r="E6" t="n">
        <v>0.32486474783</v>
      </c>
      <c r="F6" t="n">
        <v>0.2851339061404962</v>
      </c>
    </row>
    <row r="7">
      <c r="A7" t="inlineStr">
        <is>
          <t>Q6</t>
        </is>
      </c>
      <c r="B7" t="n">
        <v>23000</v>
      </c>
      <c r="C7" t="n">
        <v>23000</v>
      </c>
      <c r="D7" t="n">
        <v>0.5377681897875001</v>
      </c>
      <c r="E7" t="n">
        <v>0.4302145518300001</v>
      </c>
      <c r="F7" t="n">
        <v>0.3678752988815517</v>
      </c>
    </row>
    <row r="8">
      <c r="A8" t="inlineStr">
        <is>
          <t>Q7</t>
        </is>
      </c>
      <c r="B8" t="n">
        <v>26000</v>
      </c>
      <c r="C8" t="n">
        <v>26000</v>
      </c>
      <c r="D8" t="n">
        <v>0.6005865695375</v>
      </c>
      <c r="E8" t="n">
        <v>0.48046925563</v>
      </c>
      <c r="F8" t="n">
        <v>0.4002675567702632</v>
      </c>
    </row>
    <row r="9">
      <c r="A9" t="inlineStr">
        <is>
          <t>Q8</t>
        </is>
      </c>
      <c r="B9" t="n">
        <v>18000</v>
      </c>
      <c r="C9" t="n">
        <v>18000</v>
      </c>
      <c r="D9" t="n">
        <v>0.3873955810375</v>
      </c>
      <c r="E9" t="n">
        <v>0.3099164648300001</v>
      </c>
      <c r="F9" t="n">
        <v>0.2515351552877202</v>
      </c>
    </row>
    <row r="10">
      <c r="A10" t="inlineStr">
        <is>
          <t>Sum disc. DPS</t>
        </is>
      </c>
      <c r="F10" t="n">
        <v>3.123074985927012</v>
      </c>
    </row>
    <row r="11">
      <c r="A11" t="inlineStr">
        <is>
          <t>Terminal value (q9)</t>
        </is>
      </c>
      <c r="E11" t="n">
        <v>4.525862148481071</v>
      </c>
      <c r="F11" t="n">
        <v>3.578694448012672</v>
      </c>
    </row>
    <row r="12">
      <c r="A12" t="inlineStr">
        <is>
          <t>DivStrip implied price</t>
        </is>
      </c>
      <c r="F12" t="n">
        <v>6.701769433939684</v>
      </c>
    </row>
    <row r="13">
      <c r="A13" t="inlineStr">
        <is>
          <t>12M FFA strip (front 4q)</t>
        </is>
      </c>
      <c r="B13" t="n">
        <v>24750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19" customWidth="1" min="2" max="2"/>
    <col width="20" customWidth="1" min="3" max="3"/>
    <col width="20" customWidth="1" min="4" max="4"/>
    <col width="20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4.026565683786297</v>
      </c>
      <c r="C2" t="n">
        <v>4.614016346096864</v>
      </c>
      <c r="D2" t="n">
        <v>5.20146700840743</v>
      </c>
      <c r="E2" t="n">
        <v>5.788917670717995</v>
      </c>
      <c r="F2" t="n">
        <v>6.37636833302856</v>
      </c>
    </row>
    <row r="3">
      <c r="A3" t="inlineStr">
        <is>
          <t>-15%</t>
        </is>
      </c>
      <c r="B3" t="n">
        <v>4.257268968181567</v>
      </c>
      <c r="C3" t="n">
        <v>4.844719630492134</v>
      </c>
      <c r="D3" t="n">
        <v>5.4321702928027</v>
      </c>
      <c r="E3" t="n">
        <v>6.019620955113266</v>
      </c>
      <c r="F3" t="n">
        <v>6.607071617423831</v>
      </c>
    </row>
    <row r="4">
      <c r="A4" t="inlineStr">
        <is>
          <t>+0%</t>
        </is>
      </c>
      <c r="B4" t="n">
        <v>4.487972252576838</v>
      </c>
      <c r="C4" t="n">
        <v>5.075422914887405</v>
      </c>
      <c r="D4" t="n">
        <v>5.662873577197971</v>
      </c>
      <c r="E4" t="n">
        <v>6.250324239508537</v>
      </c>
      <c r="F4" t="n">
        <v>6.837774901819101</v>
      </c>
    </row>
    <row r="5">
      <c r="A5" t="inlineStr">
        <is>
          <t>+15%</t>
        </is>
      </c>
      <c r="B5" t="n">
        <v>4.718675536972108</v>
      </c>
      <c r="C5" t="n">
        <v>5.306126199282675</v>
      </c>
      <c r="D5" t="n">
        <v>5.893576861593241</v>
      </c>
      <c r="E5" t="n">
        <v>6.481027523903807</v>
      </c>
      <c r="F5" t="n">
        <v>7.068478186214371</v>
      </c>
    </row>
    <row r="6">
      <c r="A6" t="inlineStr">
        <is>
          <t>+30%</t>
        </is>
      </c>
      <c r="B6" t="n">
        <v>4.949378821367379</v>
      </c>
      <c r="C6" t="n">
        <v>5.536829483677945</v>
      </c>
      <c r="D6" t="n">
        <v>6.124280145988513</v>
      </c>
      <c r="E6" t="n">
        <v>6.711730808299077</v>
      </c>
      <c r="F6" t="n">
        <v>7.299181470609642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5.66</v>
      </c>
    </row>
    <row r="3">
      <c r="A3" t="n">
        <v>0.95</v>
      </c>
      <c r="B3" t="n">
        <v>5.68</v>
      </c>
    </row>
    <row r="4">
      <c r="A4" t="n">
        <v>1</v>
      </c>
      <c r="B4" t="n">
        <v>5.69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2026-06-30T13:41:16Z</dcterms:created>
  <dcterms:modified xsi:type="dcterms:W3CDTF">2026-06-30T13:41:16Z</dcterms:modified>
</cp:coreProperties>
</file>