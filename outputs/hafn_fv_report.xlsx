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HAFN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7.33</v>
      </c>
    </row>
    <row r="5">
      <c r="A5" s="1" t="inlineStr">
        <is>
          <t>Model fair value</t>
        </is>
      </c>
      <c r="B5" t="n">
        <v>5.985991940669319</v>
      </c>
    </row>
    <row r="6">
      <c r="A6" s="1" t="inlineStr">
        <is>
          <t>Analyst target</t>
        </is>
      </c>
      <c r="B6" t="n">
        <v>10</v>
      </c>
    </row>
    <row r="7">
      <c r="A7" s="1" t="inlineStr">
        <is>
          <t>NAV / share</t>
        </is>
      </c>
      <c r="B7" t="n">
        <v>5.570805778888315</v>
      </c>
    </row>
    <row r="8">
      <c r="A8" s="1" t="inlineStr">
        <is>
          <t>DivStrip implied price</t>
        </is>
      </c>
      <c r="B8" t="n">
        <v>6.954759651491665</v>
      </c>
    </row>
    <row r="9">
      <c r="A9" s="1" t="inlineStr">
        <is>
          <t>12M TC cycle input MR ($/day)</t>
        </is>
      </c>
      <c r="B9" t="n">
        <v>22000</v>
      </c>
    </row>
    <row r="10">
      <c r="A10" s="1" t="inlineStr">
        <is>
          <t>12M FFA strip MR ($/day)</t>
        </is>
      </c>
      <c r="B10" t="n">
        <v>24750</v>
      </c>
    </row>
    <row r="11">
      <c r="A11" s="1" t="inlineStr">
        <is>
          <t>Cycle position</t>
        </is>
      </c>
      <c r="B11" t="n">
        <v>1.658240668100722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88841.82355743731</v>
      </c>
    </row>
    <row r="16">
      <c r="A16" s="1" t="inlineStr">
        <is>
          <t>Breakeven multiplier (× forward)</t>
        </is>
      </c>
      <c r="B16" t="n">
        <v>1.883156114643902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LR2</t>
        </is>
      </c>
      <c r="B2" t="n">
        <v>574.273828032541</v>
      </c>
    </row>
    <row r="3">
      <c r="A3" t="inlineStr">
        <is>
          <t>Fleet value — LR1</t>
        </is>
      </c>
      <c r="B3" t="n">
        <v>848.7733333333332</v>
      </c>
    </row>
    <row r="4">
      <c r="A4" t="inlineStr">
        <is>
          <t>Fleet value — MR</t>
        </is>
      </c>
      <c r="B4" t="n">
        <v>1588.457727298479</v>
      </c>
    </row>
    <row r="5">
      <c r="A5" t="inlineStr">
        <is>
          <t>Fleet value — Handysize</t>
        </is>
      </c>
      <c r="B5" t="n">
        <v>319.7333333333333</v>
      </c>
    </row>
    <row r="6">
      <c r="A6" t="inlineStr">
        <is>
          <t>+ Cash &amp; equivalents</t>
        </is>
      </c>
      <c r="B6" t="n">
        <v>146.457</v>
      </c>
    </row>
    <row r="7">
      <c r="A7" t="inlineStr">
        <is>
          <t>+ Working capital (net)</t>
        </is>
      </c>
      <c r="B7" t="n">
        <v>362.884</v>
      </c>
    </row>
    <row r="8">
      <c r="A8" t="inlineStr">
        <is>
          <t>- Total debt</t>
        </is>
      </c>
      <c r="B8" t="n">
        <v>-953.932</v>
      </c>
    </row>
    <row r="9">
      <c r="A9" t="inlineStr">
        <is>
          <t>- Lease liabilities</t>
        </is>
      </c>
      <c r="B9" t="n">
        <v>-71.59699999999999</v>
      </c>
    </row>
    <row r="10">
      <c r="A10" t="inlineStr">
        <is>
          <t>- Newbuild commitments</t>
        </is>
      </c>
      <c r="B10" t="n">
        <v>-0</v>
      </c>
    </row>
    <row r="11">
      <c r="A11" t="inlineStr">
        <is>
          <t>+ Newbuild advances</t>
        </is>
      </c>
      <c r="B11" t="n">
        <v>0</v>
      </c>
    </row>
    <row r="12">
      <c r="A12">
        <f> NAV total</f>
        <v/>
      </c>
      <c r="B12" t="n">
        <v>2815.050221997687</v>
      </c>
    </row>
    <row r="13">
      <c r="A13" t="inlineStr">
        <is>
          <t>Diluted shares</t>
        </is>
      </c>
      <c r="B13" t="n">
        <v>505321911</v>
      </c>
    </row>
    <row r="14">
      <c r="A14" t="inlineStr">
        <is>
          <t>NAV / share</t>
        </is>
      </c>
      <c r="B14" t="n">
        <v>5.570805778888315</v>
      </c>
    </row>
    <row r="15">
      <c r="A15" t="inlineStr">
        <is>
          <t>NAV / share (ex yard discount)</t>
        </is>
      </c>
      <c r="B15" t="n">
        <v>5.570805778888315</v>
      </c>
    </row>
    <row r="16">
      <c r="A16" t="inlineStr">
        <is>
          <t>Yard-discount impact / share</t>
        </is>
      </c>
      <c r="B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MR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22000</v>
      </c>
      <c r="C2" t="n">
        <v>22000</v>
      </c>
      <c r="D2" t="n">
        <v>0.5504170467164841</v>
      </c>
      <c r="E2" t="n">
        <v>0.4403336373731873</v>
      </c>
      <c r="F2" t="n">
        <v>0.4289939011955163</v>
      </c>
    </row>
    <row r="3">
      <c r="A3" t="inlineStr">
        <is>
          <t>Q2</t>
        </is>
      </c>
      <c r="B3" t="n">
        <v>30000</v>
      </c>
      <c r="C3" t="n">
        <v>30000</v>
      </c>
      <c r="D3" t="n">
        <v>0.73054849192706</v>
      </c>
      <c r="E3" t="n">
        <v>0.584438793541648</v>
      </c>
      <c r="F3" t="n">
        <v>0.5547247539179991</v>
      </c>
    </row>
    <row r="4">
      <c r="A4" t="inlineStr">
        <is>
          <t>Q3</t>
        </is>
      </c>
      <c r="B4" t="n">
        <v>28000</v>
      </c>
      <c r="C4" t="n">
        <v>28000</v>
      </c>
      <c r="D4" t="n">
        <v>0.6685677795965392</v>
      </c>
      <c r="E4" t="n">
        <v>0.5348542236772315</v>
      </c>
      <c r="F4" t="n">
        <v>0.4945875679293999</v>
      </c>
    </row>
    <row r="5">
      <c r="A5" t="inlineStr">
        <is>
          <t>Q4</t>
        </is>
      </c>
      <c r="B5" t="n">
        <v>19000</v>
      </c>
      <c r="C5" t="n">
        <v>19000</v>
      </c>
      <c r="D5" t="n">
        <v>0.4451202683822472</v>
      </c>
      <c r="E5" t="n">
        <v>0.3560962147057978</v>
      </c>
      <c r="F5" t="n">
        <v>0.3208074006358538</v>
      </c>
    </row>
    <row r="6">
      <c r="A6" t="inlineStr">
        <is>
          <t>Q5</t>
        </is>
      </c>
      <c r="B6" t="n">
        <v>18000</v>
      </c>
      <c r="C6" t="n">
        <v>18000</v>
      </c>
      <c r="D6" t="n">
        <v>0.401804202378531</v>
      </c>
      <c r="E6" t="n">
        <v>0.3214433619028248</v>
      </c>
      <c r="F6" t="n">
        <v>0.2821309544803176</v>
      </c>
    </row>
    <row r="7">
      <c r="A7" t="inlineStr">
        <is>
          <t>Q6</t>
        </is>
      </c>
      <c r="B7" t="n">
        <v>23000</v>
      </c>
      <c r="C7" t="n">
        <v>23000</v>
      </c>
      <c r="D7" t="n">
        <v>0.5321045635279211</v>
      </c>
      <c r="E7" t="n">
        <v>0.4256836508223369</v>
      </c>
      <c r="F7" t="n">
        <v>0.3640009376929152</v>
      </c>
    </row>
    <row r="8">
      <c r="A8" t="inlineStr">
        <is>
          <t>Q7</t>
        </is>
      </c>
      <c r="B8" t="n">
        <v>26000</v>
      </c>
      <c r="C8" t="n">
        <v>26000</v>
      </c>
      <c r="D8" t="n">
        <v>0.5942613574275627</v>
      </c>
      <c r="E8" t="n">
        <v>0.4754090859420502</v>
      </c>
      <c r="F8" t="n">
        <v>0.396052049255255</v>
      </c>
    </row>
    <row r="9">
      <c r="A9" t="inlineStr">
        <is>
          <t>Q8</t>
        </is>
      </c>
      <c r="B9" t="n">
        <v>18000</v>
      </c>
      <c r="C9" t="n">
        <v>18000</v>
      </c>
      <c r="D9" t="n">
        <v>0.3833156376208472</v>
      </c>
      <c r="E9" t="n">
        <v>0.3066525100966778</v>
      </c>
      <c r="F9" t="n">
        <v>0.2488860564050627</v>
      </c>
    </row>
    <row r="10">
      <c r="A10" t="inlineStr">
        <is>
          <t>Sum disc. DPS</t>
        </is>
      </c>
      <c r="F10" t="n">
        <v>3.09018362151232</v>
      </c>
    </row>
    <row r="11">
      <c r="A11" t="inlineStr">
        <is>
          <t>Terminal value (q9)</t>
        </is>
      </c>
      <c r="E11" t="n">
        <v>4.88740758063982</v>
      </c>
      <c r="F11" t="n">
        <v>3.864576029979346</v>
      </c>
    </row>
    <row r="12">
      <c r="A12" t="inlineStr">
        <is>
          <t>DivStrip implied price</t>
        </is>
      </c>
      <c r="F12" t="n">
        <v>6.954759651491665</v>
      </c>
    </row>
    <row r="13">
      <c r="A13" t="inlineStr">
        <is>
          <t>12M FFA strip (front 4q)</t>
        </is>
      </c>
      <c r="B13" t="n">
        <v>24750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4.367042956279215</v>
      </c>
      <c r="C2" t="n">
        <v>4.948243867442798</v>
      </c>
      <c r="D2" t="n">
        <v>5.529444778606382</v>
      </c>
      <c r="E2" t="n">
        <v>6.110645689769965</v>
      </c>
      <c r="F2" t="n">
        <v>6.691846600933546</v>
      </c>
    </row>
    <row r="3">
      <c r="A3" t="inlineStr">
        <is>
          <t>-15%</t>
        </is>
      </c>
      <c r="B3" t="n">
        <v>4.595316537310684</v>
      </c>
      <c r="C3" t="n">
        <v>5.176517448474267</v>
      </c>
      <c r="D3" t="n">
        <v>5.757718359637851</v>
      </c>
      <c r="E3" t="n">
        <v>6.338919270801433</v>
      </c>
      <c r="F3" t="n">
        <v>6.920120181965014</v>
      </c>
    </row>
    <row r="4">
      <c r="A4" t="inlineStr">
        <is>
          <t>+0%</t>
        </is>
      </c>
      <c r="B4" t="n">
        <v>4.823590118342153</v>
      </c>
      <c r="C4" t="n">
        <v>5.404791029505736</v>
      </c>
      <c r="D4" t="n">
        <v>5.985991940669319</v>
      </c>
      <c r="E4" t="n">
        <v>6.567192851832903</v>
      </c>
      <c r="F4" t="n">
        <v>7.148393762996483</v>
      </c>
    </row>
    <row r="5">
      <c r="A5" t="inlineStr">
        <is>
          <t>+15%</t>
        </is>
      </c>
      <c r="B5" t="n">
        <v>5.051863699373622</v>
      </c>
      <c r="C5" t="n">
        <v>5.633064610537205</v>
      </c>
      <c r="D5" t="n">
        <v>6.214265521700788</v>
      </c>
      <c r="E5" t="n">
        <v>6.795466432864371</v>
      </c>
      <c r="F5" t="n">
        <v>7.376667344027952</v>
      </c>
    </row>
    <row r="6">
      <c r="A6" t="inlineStr">
        <is>
          <t>+30%</t>
        </is>
      </c>
      <c r="B6" t="n">
        <v>5.280137280405091</v>
      </c>
      <c r="C6" t="n">
        <v>5.861338191568674</v>
      </c>
      <c r="D6" t="n">
        <v>6.442539102732256</v>
      </c>
      <c r="E6" t="n">
        <v>7.023740013895841</v>
      </c>
      <c r="F6" t="n">
        <v>7.604940925059421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5.99</v>
      </c>
    </row>
    <row r="3">
      <c r="A3" t="n">
        <v>0.95</v>
      </c>
      <c r="B3" t="n">
        <v>6.01</v>
      </c>
    </row>
    <row r="4">
      <c r="A4" t="n">
        <v>1</v>
      </c>
      <c r="B4" t="n">
        <v>6.01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LR2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2026-07-24T16:04:28Z</dcterms:created>
  <dcterms:modified xsi:type="dcterms:W3CDTF">2026-07-24T16:04:28Z</dcterms:modified>
</cp:coreProperties>
</file>